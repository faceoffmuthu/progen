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24226"/>
  <xr:revisionPtr revIDLastSave="0" documentId="13_ncr:1_{AD2B4A64-D20A-4E83-823C-D4B32FD5D691}" xr6:coauthVersionLast="47" xr6:coauthVersionMax="47" xr10:uidLastSave="{00000000-0000-0000-0000-000000000000}"/>
  <bookViews>
    <workbookView xWindow="-108" yWindow="-108" windowWidth="23256" windowHeight="12456" tabRatio="935" activeTab="14" xr2:uid="{00000000-000D-0000-FFFF-FFFF00000000}"/>
  </bookViews>
  <sheets>
    <sheet name="BS" sheetId="2" r:id="rId1"/>
    <sheet name="P&amp;L" sheetId="1" r:id="rId2"/>
    <sheet name="CFS" sheetId="3" r:id="rId3"/>
    <sheet name="Note 4 - SOCES" sheetId="5" r:id="rId4"/>
    <sheet name="Notes - " sheetId="6" r:id="rId5"/>
    <sheet name="Notes" sheetId="7" r:id="rId6"/>
    <sheet name="Notes -" sheetId="8" r:id="rId7"/>
    <sheet name="Notes-P&amp;L" sheetId="9" r:id="rId8"/>
    <sheet name="SAP" sheetId="15" r:id="rId9"/>
    <sheet name="SAP 2" sheetId="24" r:id="rId10"/>
    <sheet name="Ratio" sheetId="18" r:id="rId11"/>
    <sheet name="Dep - IT Act" sheetId="16" r:id="rId12"/>
    <sheet name="Ratio Working" sheetId="19" r:id="rId13"/>
    <sheet name="SC &amp; SD" sheetId="31" r:id="rId14"/>
    <sheet name="Sheet1" sheetId="32" r:id="rId15"/>
  </sheets>
  <externalReferences>
    <externalReference r:id="rId16"/>
    <externalReference r:id="rId17"/>
    <externalReference r:id="rId18"/>
  </externalReferences>
  <definedNames>
    <definedName name="_xlnm._FilterDatabase" localSheetId="13" hidden="1">'SC &amp; SD'!$A$6:$N$132</definedName>
    <definedName name="_xlnm.Print_Area" localSheetId="0">BS!$A$1:$E$60</definedName>
    <definedName name="_xlnm.Print_Area" localSheetId="2">CFS!$A$1:$E$94</definedName>
    <definedName name="_xlnm.Print_Area" localSheetId="11">'Dep - IT Act'!$A$1:$J$24</definedName>
    <definedName name="_xlnm.Print_Area" localSheetId="3">'Note 4 - SOCES'!$A$1:$G$42</definedName>
    <definedName name="_xlnm.Print_Area" localSheetId="5">Notes!$A$1:$M$29</definedName>
    <definedName name="_xlnm.Print_Area" localSheetId="6">'Notes -'!$A$1:$I$130</definedName>
    <definedName name="_xlnm.Print_Area" localSheetId="4">'Notes - '!$A$1:$G$150</definedName>
    <definedName name="_xlnm.Print_Area" localSheetId="7">'Notes-P&amp;L'!$A$1:$D$172</definedName>
    <definedName name="_xlnm.Print_Area" localSheetId="1">'P&amp;L'!$A$1:$E$55</definedName>
    <definedName name="_xlnm.Print_Area" localSheetId="10">Ratio!$A$1:$H$37</definedName>
    <definedName name="_xlnm.Print_Area" localSheetId="12">'Ratio Working'!$A$1:$E$25</definedName>
    <definedName name="_xlnm.Print_Area" localSheetId="8">SAP!$A$1:$C$144</definedName>
    <definedName name="_xlnm.Print_Area" localSheetId="9">'SAP 2'!$A$1:$I$302</definedName>
    <definedName name="_xlnm.Print_Area" localSheetId="13">'SC &amp; SD'!$A$1:$D$97,'SC &amp; SD'!$F$1:$I$48,'SC &amp; SD'!$K$1:$N$135,'SC &amp; SD'!$P$1:$S$97,'SC &amp; SD'!$U$1:$X$48</definedName>
  </definedNames>
  <calcPr calcId="191029"/>
</workbook>
</file>

<file path=xl/calcChain.xml><?xml version="1.0" encoding="utf-8"?>
<calcChain xmlns="http://schemas.openxmlformats.org/spreadsheetml/2006/main">
  <c r="F135" i="24" l="1"/>
  <c r="H135" i="24"/>
  <c r="H111" i="24"/>
  <c r="H118" i="24"/>
  <c r="F93" i="8"/>
  <c r="D13" i="3" l="1"/>
  <c r="F50" i="6" l="1"/>
  <c r="E15" i="2" s="1"/>
  <c r="D48" i="6"/>
  <c r="D50" i="6" s="1"/>
  <c r="D15" i="2" s="1"/>
  <c r="D24" i="1"/>
  <c r="J107" i="8"/>
  <c r="H107" i="8"/>
  <c r="F107" i="8"/>
  <c r="D54" i="3"/>
  <c r="E54" i="3"/>
  <c r="C142" i="9"/>
  <c r="D139" i="9"/>
  <c r="C139" i="9"/>
  <c r="L108" i="9"/>
  <c r="C97" i="9" s="1"/>
  <c r="C38" i="9"/>
  <c r="C37" i="9"/>
  <c r="E6" i="9"/>
  <c r="D6" i="9"/>
  <c r="C6" i="9"/>
  <c r="H109" i="8"/>
  <c r="H119" i="6" l="1"/>
  <c r="F119" i="6"/>
  <c r="D119" i="6"/>
  <c r="G175" i="24"/>
  <c r="D26" i="32"/>
  <c r="D118" i="6"/>
  <c r="D24" i="6"/>
  <c r="F24" i="6"/>
  <c r="H24" i="6"/>
  <c r="H132" i="24" l="1"/>
  <c r="J97" i="8"/>
  <c r="H97" i="8"/>
  <c r="F97" i="8"/>
  <c r="C104" i="9"/>
  <c r="J112" i="9"/>
  <c r="C114" i="9"/>
  <c r="C147" i="9"/>
  <c r="C111" i="9"/>
  <c r="C112" i="9"/>
  <c r="C113" i="9"/>
  <c r="J108" i="9"/>
  <c r="C120" i="9"/>
  <c r="C118" i="9"/>
  <c r="C125" i="9"/>
  <c r="C108" i="9"/>
  <c r="C99" i="9"/>
  <c r="C58" i="9"/>
  <c r="C50" i="9"/>
  <c r="C96" i="9"/>
  <c r="C28" i="9"/>
  <c r="C8" i="9"/>
  <c r="D12" i="32"/>
  <c r="H23" i="8" l="1"/>
  <c r="F23" i="8"/>
  <c r="J22" i="8"/>
  <c r="J23" i="8"/>
  <c r="F22" i="8"/>
  <c r="H22" i="8"/>
  <c r="H115" i="9"/>
  <c r="H117" i="9"/>
  <c r="C141" i="9"/>
  <c r="C98" i="9"/>
  <c r="E8" i="9"/>
  <c r="D8" i="9"/>
  <c r="C43" i="9"/>
  <c r="E43" i="9"/>
  <c r="D38" i="9"/>
  <c r="D37" i="9"/>
  <c r="D43" i="9" l="1"/>
  <c r="C121" i="9"/>
  <c r="H120" i="9" l="1"/>
  <c r="C7" i="9"/>
  <c r="D150" i="9"/>
  <c r="D98" i="9" l="1"/>
  <c r="D102" i="9" s="1"/>
  <c r="E98" i="9"/>
  <c r="E35" i="32" l="1"/>
  <c r="D11" i="32"/>
  <c r="D9" i="32"/>
  <c r="D6" i="32"/>
  <c r="F118" i="24" l="1"/>
  <c r="F73" i="8"/>
  <c r="J115" i="9" l="1"/>
  <c r="C123" i="9" s="1"/>
  <c r="C66" i="9" l="1"/>
  <c r="I8" i="16"/>
  <c r="F209" i="24" l="1"/>
  <c r="F206" i="24"/>
  <c r="H209" i="24"/>
  <c r="H206" i="24"/>
  <c r="H204" i="24"/>
  <c r="F204" i="24"/>
  <c r="H191" i="24" l="1"/>
  <c r="F191" i="24"/>
  <c r="E31" i="32"/>
  <c r="H220" i="24"/>
  <c r="H212" i="24" l="1"/>
  <c r="F212" i="24"/>
  <c r="G37" i="18"/>
  <c r="G36" i="18"/>
  <c r="G35" i="18"/>
  <c r="E37" i="18"/>
  <c r="E36" i="18"/>
  <c r="E35" i="18"/>
  <c r="D7" i="32" l="1"/>
  <c r="D5" i="32"/>
  <c r="D4" i="32"/>
  <c r="H291" i="24"/>
  <c r="H290" i="24"/>
  <c r="H289" i="24"/>
  <c r="F291" i="24"/>
  <c r="F290" i="24"/>
  <c r="F289" i="24"/>
  <c r="D124" i="9"/>
  <c r="D50" i="9"/>
  <c r="D27" i="32" l="1"/>
  <c r="F75" i="8"/>
  <c r="H75" i="8"/>
  <c r="H18" i="8"/>
  <c r="F18" i="8"/>
  <c r="H10" i="8"/>
  <c r="H66" i="8"/>
  <c r="G66" i="8"/>
  <c r="F66" i="8"/>
  <c r="E66" i="8"/>
  <c r="D66" i="8"/>
  <c r="I65" i="8"/>
  <c r="I64" i="8"/>
  <c r="I63" i="8"/>
  <c r="I62" i="8"/>
  <c r="H57" i="8"/>
  <c r="G57" i="8"/>
  <c r="F57" i="8"/>
  <c r="E57" i="8"/>
  <c r="D57" i="8"/>
  <c r="I56" i="8"/>
  <c r="I55" i="8"/>
  <c r="I54" i="8"/>
  <c r="I53" i="8"/>
  <c r="G88" i="6"/>
  <c r="G91" i="6"/>
  <c r="G90" i="6"/>
  <c r="G100" i="6"/>
  <c r="G99" i="6"/>
  <c r="G98" i="6"/>
  <c r="G97" i="6"/>
  <c r="F101" i="6"/>
  <c r="E101" i="6"/>
  <c r="D101" i="6"/>
  <c r="C101" i="6"/>
  <c r="F92" i="6"/>
  <c r="E92" i="6"/>
  <c r="A2" i="31"/>
  <c r="A3" i="31"/>
  <c r="A78" i="3"/>
  <c r="A77" i="3"/>
  <c r="A55" i="1"/>
  <c r="A54" i="1"/>
  <c r="E55" i="1"/>
  <c r="E54" i="1"/>
  <c r="E53" i="1"/>
  <c r="C55" i="1"/>
  <c r="C54" i="1"/>
  <c r="C53" i="1"/>
  <c r="E49" i="1"/>
  <c r="E48" i="1"/>
  <c r="E47" i="1"/>
  <c r="C49" i="1"/>
  <c r="C48" i="1"/>
  <c r="C47" i="1"/>
  <c r="E78" i="3"/>
  <c r="E77" i="3"/>
  <c r="E76" i="3"/>
  <c r="C78" i="3"/>
  <c r="C77" i="3"/>
  <c r="C76" i="3"/>
  <c r="E71" i="3"/>
  <c r="E70" i="3"/>
  <c r="E69" i="3"/>
  <c r="C71" i="3"/>
  <c r="C70" i="3"/>
  <c r="C69" i="3"/>
  <c r="C124" i="9"/>
  <c r="E162" i="9"/>
  <c r="D123" i="9"/>
  <c r="F111" i="8"/>
  <c r="X41" i="31"/>
  <c r="F114" i="6" s="1"/>
  <c r="F122" i="6" s="1"/>
  <c r="W41" i="31"/>
  <c r="D114" i="6" s="1"/>
  <c r="D89" i="31"/>
  <c r="F80" i="6" s="1"/>
  <c r="C89" i="31"/>
  <c r="D80" i="6" s="1"/>
  <c r="N123" i="31"/>
  <c r="M123" i="31"/>
  <c r="N131" i="31"/>
  <c r="H93" i="8" s="1"/>
  <c r="M131" i="31"/>
  <c r="F57" i="6"/>
  <c r="C162" i="9"/>
  <c r="C18" i="9"/>
  <c r="C122" i="9"/>
  <c r="C117" i="9"/>
  <c r="C148" i="9"/>
  <c r="I9" i="16"/>
  <c r="I10" i="16"/>
  <c r="D15" i="3" l="1"/>
  <c r="C23" i="9"/>
  <c r="C127" i="9"/>
  <c r="P51" i="31"/>
  <c r="P52" i="31"/>
  <c r="G101" i="6"/>
  <c r="I57" i="8"/>
  <c r="I66" i="8"/>
  <c r="G89" i="6"/>
  <c r="D92" i="6"/>
  <c r="C92" i="6"/>
  <c r="D122" i="6"/>
  <c r="F2" i="31"/>
  <c r="F3" i="31"/>
  <c r="I37" i="31"/>
  <c r="F79" i="6" s="1"/>
  <c r="F82" i="6" s="1"/>
  <c r="H37" i="31"/>
  <c r="D79" i="6" s="1"/>
  <c r="N119" i="31"/>
  <c r="H92" i="8" s="1"/>
  <c r="M119" i="31"/>
  <c r="F92" i="8" s="1"/>
  <c r="S68" i="31"/>
  <c r="H29" i="8" s="1"/>
  <c r="H32" i="8" s="1"/>
  <c r="H35" i="8" s="1"/>
  <c r="R68" i="31"/>
  <c r="F29" i="8" s="1"/>
  <c r="S6" i="31"/>
  <c r="X6" i="31" s="1"/>
  <c r="R6" i="31"/>
  <c r="W6" i="31" s="1"/>
  <c r="F6" i="31"/>
  <c r="G6" i="31"/>
  <c r="K66" i="8" l="1"/>
  <c r="F32" i="8"/>
  <c r="F35" i="8" s="1"/>
  <c r="D82" i="6"/>
  <c r="F100" i="8"/>
  <c r="G92" i="6"/>
  <c r="E123" i="9"/>
  <c r="C146" i="9"/>
  <c r="C150" i="9" s="1"/>
  <c r="C64" i="9"/>
  <c r="E21" i="5"/>
  <c r="E52" i="3"/>
  <c r="H100" i="8"/>
  <c r="C102" i="9" l="1"/>
  <c r="F130" i="6"/>
  <c r="F129" i="6"/>
  <c r="J109" i="8"/>
  <c r="H42" i="6"/>
  <c r="F42" i="6"/>
  <c r="H57" i="6"/>
  <c r="H128" i="6"/>
  <c r="F11" i="2"/>
  <c r="E9" i="3"/>
  <c r="H111" i="8" l="1"/>
  <c r="F136" i="6"/>
  <c r="F25" i="8"/>
  <c r="H25" i="8"/>
  <c r="D59" i="6" l="1"/>
  <c r="H59" i="6"/>
  <c r="H21" i="7"/>
  <c r="K21" i="7" s="1"/>
  <c r="K17" i="7"/>
  <c r="K15" i="7"/>
  <c r="K13" i="7"/>
  <c r="K11" i="7"/>
  <c r="K12" i="7"/>
  <c r="K14" i="7"/>
  <c r="K16" i="7"/>
  <c r="K18" i="7"/>
  <c r="K10" i="7"/>
  <c r="J25" i="7"/>
  <c r="J22" i="7"/>
  <c r="J19" i="7"/>
  <c r="J27" i="7" s="1"/>
  <c r="D61" i="6" l="1"/>
  <c r="C10" i="19"/>
  <c r="G22" i="5"/>
  <c r="I20" i="5"/>
  <c r="I22" i="5"/>
  <c r="H22" i="5"/>
  <c r="I36" i="5" s="1"/>
  <c r="I11" i="5"/>
  <c r="I8" i="5"/>
  <c r="F12" i="1"/>
  <c r="D141" i="9"/>
  <c r="E141" i="9"/>
  <c r="E148" i="9"/>
  <c r="E150" i="9" s="1"/>
  <c r="I27" i="5" l="1"/>
  <c r="I28" i="5"/>
  <c r="I35" i="5"/>
  <c r="E65" i="9"/>
  <c r="E10" i="19" s="1"/>
  <c r="D65" i="9"/>
  <c r="D66" i="9"/>
  <c r="E125" i="9"/>
  <c r="E127" i="9" s="1"/>
  <c r="D118" i="9"/>
  <c r="E58" i="9"/>
  <c r="E95" i="9"/>
  <c r="E102" i="9" s="1"/>
  <c r="E50" i="9"/>
  <c r="E57" i="9"/>
  <c r="N25" i="7"/>
  <c r="N22" i="7"/>
  <c r="G27" i="2" s="1"/>
  <c r="N19" i="7"/>
  <c r="J100" i="8"/>
  <c r="G37" i="2" s="1"/>
  <c r="J111" i="8"/>
  <c r="G38" i="2" s="1"/>
  <c r="J75" i="8"/>
  <c r="G36" i="2" s="1"/>
  <c r="E48" i="3" s="1"/>
  <c r="J32" i="8"/>
  <c r="J35" i="8" s="1"/>
  <c r="G35" i="2" s="1"/>
  <c r="J25" i="8"/>
  <c r="G34" i="2" s="1"/>
  <c r="J18" i="8"/>
  <c r="G31" i="2" s="1"/>
  <c r="J10" i="8"/>
  <c r="G30" i="2" s="1"/>
  <c r="A2" i="8"/>
  <c r="H136" i="6"/>
  <c r="G21" i="2" s="1"/>
  <c r="H122" i="6"/>
  <c r="G20" i="2" s="1"/>
  <c r="H82" i="6"/>
  <c r="G19" i="2" s="1"/>
  <c r="H61" i="6"/>
  <c r="G18" i="2" s="1"/>
  <c r="H44" i="6"/>
  <c r="H15" i="6"/>
  <c r="F13" i="6" s="1"/>
  <c r="F15" i="6" s="1"/>
  <c r="I12" i="5"/>
  <c r="G9" i="2" s="1"/>
  <c r="H12" i="5"/>
  <c r="G12" i="5"/>
  <c r="F12" i="5"/>
  <c r="E12" i="5"/>
  <c r="D12" i="5"/>
  <c r="I9" i="5"/>
  <c r="H9" i="5"/>
  <c r="G9" i="5"/>
  <c r="F9" i="5"/>
  <c r="E9" i="5"/>
  <c r="D9" i="5"/>
  <c r="F30" i="1"/>
  <c r="E144" i="9"/>
  <c r="E75" i="9"/>
  <c r="F15" i="1" s="1"/>
  <c r="D32" i="9"/>
  <c r="C32" i="9"/>
  <c r="E32" i="9"/>
  <c r="F11" i="1" s="1"/>
  <c r="E35" i="9"/>
  <c r="E49" i="9" s="1"/>
  <c r="E63" i="9" s="1"/>
  <c r="E71" i="9" s="1"/>
  <c r="E93" i="9" s="1"/>
  <c r="E155" i="9" s="1"/>
  <c r="E23" i="9"/>
  <c r="F8" i="1" s="1"/>
  <c r="E6" i="19" l="1"/>
  <c r="E68" i="9"/>
  <c r="F14" i="1" s="1"/>
  <c r="E15" i="19"/>
  <c r="E5" i="19"/>
  <c r="E18" i="19"/>
  <c r="D13" i="6"/>
  <c r="D15" i="6" s="1"/>
  <c r="G14" i="2"/>
  <c r="F41" i="6"/>
  <c r="N27" i="7"/>
  <c r="G13" i="2"/>
  <c r="G26" i="2"/>
  <c r="G39" i="2" s="1"/>
  <c r="E60" i="9"/>
  <c r="F13" i="1" s="1"/>
  <c r="E9" i="9"/>
  <c r="E152" i="9"/>
  <c r="F16" i="1" s="1"/>
  <c r="A1" i="6"/>
  <c r="G16" i="7"/>
  <c r="L16" i="7"/>
  <c r="C68" i="9"/>
  <c r="F7" i="1" l="1"/>
  <c r="F9" i="1" s="1"/>
  <c r="E13" i="19" s="1"/>
  <c r="E11" i="9"/>
  <c r="E13" i="9" s="1"/>
  <c r="F44" i="6"/>
  <c r="D41" i="6" s="1"/>
  <c r="A1" i="8"/>
  <c r="E7" i="19"/>
  <c r="E17" i="19"/>
  <c r="E22" i="19"/>
  <c r="F17" i="1"/>
  <c r="M16" i="7"/>
  <c r="E23" i="19" l="1"/>
  <c r="F19" i="1"/>
  <c r="F21" i="1" s="1"/>
  <c r="F25" i="1" s="1"/>
  <c r="E14" i="2"/>
  <c r="H14" i="2" s="1"/>
  <c r="E9" i="19" l="1"/>
  <c r="E21" i="19"/>
  <c r="E20" i="19"/>
  <c r="F31" i="1"/>
  <c r="F33" i="1" s="1"/>
  <c r="F14" i="2"/>
  <c r="E11" i="19" l="1"/>
  <c r="F35" i="1"/>
  <c r="F36" i="1"/>
  <c r="H8" i="6"/>
  <c r="H10" i="6" s="1"/>
  <c r="H17" i="6" l="1"/>
  <c r="G10" i="2" s="1"/>
  <c r="I19" i="7"/>
  <c r="C72" i="9" s="1"/>
  <c r="H19" i="7"/>
  <c r="F19" i="7"/>
  <c r="E19" i="7"/>
  <c r="M18" i="7"/>
  <c r="L18" i="7"/>
  <c r="L17" i="7"/>
  <c r="G11" i="7"/>
  <c r="G12" i="7"/>
  <c r="G13" i="7"/>
  <c r="G14" i="7"/>
  <c r="G15" i="7"/>
  <c r="G17" i="7"/>
  <c r="G18" i="7"/>
  <c r="D19" i="7"/>
  <c r="D68" i="9"/>
  <c r="D12" i="1"/>
  <c r="D11" i="1"/>
  <c r="G22" i="2" l="1"/>
  <c r="E8" i="19"/>
  <c r="C15" i="19"/>
  <c r="E12" i="1"/>
  <c r="M17" i="7"/>
  <c r="H285" i="24"/>
  <c r="H284" i="24"/>
  <c r="H283" i="24"/>
  <c r="F285" i="24"/>
  <c r="F284" i="24"/>
  <c r="F283" i="24"/>
  <c r="A287" i="24"/>
  <c r="A286" i="24"/>
  <c r="A285" i="24"/>
  <c r="A284" i="24"/>
  <c r="A283" i="24"/>
  <c r="A279" i="24"/>
  <c r="A278" i="24"/>
  <c r="A277" i="24"/>
  <c r="F277" i="24"/>
  <c r="F225" i="24"/>
  <c r="E30" i="18" l="1"/>
  <c r="E29" i="18"/>
  <c r="E28" i="18"/>
  <c r="G30" i="18"/>
  <c r="G29" i="18"/>
  <c r="G28" i="18"/>
  <c r="E22" i="18"/>
  <c r="A31" i="18"/>
  <c r="A30" i="18"/>
  <c r="A29" i="18"/>
  <c r="A28" i="18"/>
  <c r="A24" i="18"/>
  <c r="A23" i="18"/>
  <c r="A22" i="18"/>
  <c r="A20" i="18"/>
  <c r="A3" i="18"/>
  <c r="A2" i="18"/>
  <c r="E19" i="2" l="1"/>
  <c r="F59" i="6"/>
  <c r="F61" i="6" l="1"/>
  <c r="D10" i="19"/>
  <c r="D16" i="19"/>
  <c r="H19" i="2"/>
  <c r="E23" i="3"/>
  <c r="D52" i="3"/>
  <c r="E34" i="3"/>
  <c r="A2" i="16" l="1"/>
  <c r="A2" i="9" l="1"/>
  <c r="D56" i="3"/>
  <c r="D34" i="3"/>
  <c r="G10" i="7" l="1"/>
  <c r="G19" i="7" s="1"/>
  <c r="E34" i="2"/>
  <c r="D18" i="19" l="1"/>
  <c r="E20" i="3"/>
  <c r="H34" i="2"/>
  <c r="D19" i="19" l="1"/>
  <c r="D28" i="3"/>
  <c r="E56" i="3" l="1"/>
  <c r="D162" i="9" l="1"/>
  <c r="D144" i="9" l="1"/>
  <c r="C144" i="9"/>
  <c r="D127" i="9"/>
  <c r="E14" i="1"/>
  <c r="D14" i="1"/>
  <c r="D14" i="3" s="1"/>
  <c r="D38" i="3" s="1"/>
  <c r="C60" i="9"/>
  <c r="D13" i="1" s="1"/>
  <c r="D60" i="9"/>
  <c r="E13" i="1" s="1"/>
  <c r="E30" i="1"/>
  <c r="A3" i="1"/>
  <c r="A2" i="1"/>
  <c r="A1" i="1"/>
  <c r="E14" i="3" l="1"/>
  <c r="E38" i="3" s="1"/>
  <c r="D152" i="9"/>
  <c r="D20" i="2" l="1"/>
  <c r="D18" i="2"/>
  <c r="E18" i="2"/>
  <c r="H18" i="2" l="1"/>
  <c r="E42" i="3"/>
  <c r="F18" i="2"/>
  <c r="E20" i="2"/>
  <c r="E25" i="3" s="1"/>
  <c r="H20" i="2" l="1"/>
  <c r="F20" i="2"/>
  <c r="D25" i="3"/>
  <c r="D42" i="3"/>
  <c r="E38" i="5"/>
  <c r="C38" i="5"/>
  <c r="E13" i="2" l="1"/>
  <c r="D13" i="2"/>
  <c r="D9" i="2"/>
  <c r="C7" i="19" l="1"/>
  <c r="D7" i="19"/>
  <c r="F13" i="2"/>
  <c r="H13" i="2"/>
  <c r="E41" i="3"/>
  <c r="D41" i="3"/>
  <c r="E9" i="2"/>
  <c r="F282" i="24"/>
  <c r="E282" i="24"/>
  <c r="A282" i="24"/>
  <c r="H225" i="24"/>
  <c r="H9" i="24"/>
  <c r="F9" i="24"/>
  <c r="E39" i="3" l="1"/>
  <c r="D39" i="3"/>
  <c r="H9" i="2"/>
  <c r="F9" i="2"/>
  <c r="F91" i="8" l="1"/>
  <c r="F103" i="8" s="1"/>
  <c r="D5" i="6"/>
  <c r="C93" i="9" l="1"/>
  <c r="C71" i="9"/>
  <c r="C63" i="9"/>
  <c r="C49" i="9"/>
  <c r="C35" i="9"/>
  <c r="D34" i="2" l="1"/>
  <c r="F34" i="2" l="1"/>
  <c r="C18" i="19"/>
  <c r="D20" i="3"/>
  <c r="E16" i="1"/>
  <c r="E37" i="2"/>
  <c r="E21" i="3" s="1"/>
  <c r="I25" i="7"/>
  <c r="H25" i="7"/>
  <c r="F25" i="7"/>
  <c r="E25" i="7"/>
  <c r="L10" i="7"/>
  <c r="L11" i="7"/>
  <c r="L12" i="7"/>
  <c r="L13" i="7"/>
  <c r="L14" i="7"/>
  <c r="L15" i="7"/>
  <c r="D25" i="7"/>
  <c r="C19" i="19" l="1"/>
  <c r="H37" i="2"/>
  <c r="K19" i="7"/>
  <c r="L19" i="7"/>
  <c r="C152" i="9"/>
  <c r="D16" i="1" s="1"/>
  <c r="M12" i="7"/>
  <c r="M11" i="7"/>
  <c r="M13" i="7"/>
  <c r="M14" i="7"/>
  <c r="M15" i="7"/>
  <c r="M10" i="7"/>
  <c r="E11" i="1"/>
  <c r="E38" i="2"/>
  <c r="E22" i="3" s="1"/>
  <c r="D15" i="19" l="1"/>
  <c r="F14" i="18" s="1"/>
  <c r="H38" i="2"/>
  <c r="M19" i="7"/>
  <c r="D26" i="2" s="1"/>
  <c r="D9" i="9"/>
  <c r="D11" i="9" s="1"/>
  <c r="C9" i="9"/>
  <c r="D7" i="1" l="1"/>
  <c r="C11" i="9"/>
  <c r="C13" i="9" s="1"/>
  <c r="D13" i="9"/>
  <c r="E7" i="1" s="1"/>
  <c r="D75" i="9"/>
  <c r="A2" i="7"/>
  <c r="E15" i="1" l="1"/>
  <c r="E11" i="3" s="1"/>
  <c r="A1" i="19"/>
  <c r="A1" i="18"/>
  <c r="I22" i="7" l="1"/>
  <c r="C73" i="9" s="1"/>
  <c r="C75" i="9" s="1"/>
  <c r="D15" i="1" s="1"/>
  <c r="H22" i="7"/>
  <c r="F22" i="7"/>
  <c r="E22" i="7"/>
  <c r="D22" i="7"/>
  <c r="D11" i="3" l="1"/>
  <c r="D8" i="32"/>
  <c r="F12" i="16"/>
  <c r="E12" i="16"/>
  <c r="D12" i="16"/>
  <c r="C12" i="16"/>
  <c r="G10" i="16"/>
  <c r="J10" i="16" s="1"/>
  <c r="G9" i="16"/>
  <c r="J9" i="16" s="1"/>
  <c r="G8" i="16"/>
  <c r="A1" i="16"/>
  <c r="L24" i="7"/>
  <c r="L25" i="7" s="1"/>
  <c r="K24" i="7"/>
  <c r="K25" i="7" s="1"/>
  <c r="I27" i="7"/>
  <c r="H27" i="7"/>
  <c r="F27" i="7"/>
  <c r="E27" i="7"/>
  <c r="D27" i="7"/>
  <c r="G24" i="7"/>
  <c r="L21" i="7"/>
  <c r="L22" i="7" s="1"/>
  <c r="E27" i="2" s="1"/>
  <c r="K22" i="7"/>
  <c r="G21" i="7"/>
  <c r="D37" i="2"/>
  <c r="F37" i="2" s="1"/>
  <c r="D31" i="2"/>
  <c r="E31" i="2"/>
  <c r="E33" i="3" s="1"/>
  <c r="E30" i="2"/>
  <c r="A1" i="7"/>
  <c r="E21" i="2"/>
  <c r="D19" i="2"/>
  <c r="F22" i="5"/>
  <c r="F37" i="5" s="1"/>
  <c r="E20" i="5"/>
  <c r="E22" i="5" s="1"/>
  <c r="A1" i="5"/>
  <c r="A72" i="3"/>
  <c r="C64" i="3"/>
  <c r="A59" i="3"/>
  <c r="A39" i="1"/>
  <c r="A38" i="1"/>
  <c r="A3" i="3"/>
  <c r="A2" i="3"/>
  <c r="A1" i="3"/>
  <c r="A50" i="1"/>
  <c r="C42" i="1"/>
  <c r="C46" i="2"/>
  <c r="D29" i="32" l="1"/>
  <c r="E14" i="32"/>
  <c r="A1" i="9"/>
  <c r="A1" i="31"/>
  <c r="H30" i="2"/>
  <c r="E43" i="3"/>
  <c r="E44" i="3" s="1"/>
  <c r="F19" i="2"/>
  <c r="C16" i="19"/>
  <c r="E14" i="18" s="1"/>
  <c r="E24" i="3"/>
  <c r="D6" i="19"/>
  <c r="H27" i="2"/>
  <c r="H21" i="2"/>
  <c r="F31" i="2"/>
  <c r="H31" i="2"/>
  <c r="H29" i="2"/>
  <c r="D21" i="3"/>
  <c r="F278" i="24"/>
  <c r="E23" i="18"/>
  <c r="G12" i="16"/>
  <c r="D33" i="3"/>
  <c r="G28" i="5"/>
  <c r="G29" i="5"/>
  <c r="F36" i="5"/>
  <c r="F35" i="5"/>
  <c r="G27" i="5"/>
  <c r="D20" i="5"/>
  <c r="D22" i="5" s="1"/>
  <c r="M24" i="7"/>
  <c r="M25" i="7" s="1"/>
  <c r="G25" i="7"/>
  <c r="M21" i="7"/>
  <c r="M22" i="7" s="1"/>
  <c r="D27" i="2" s="1"/>
  <c r="F27" i="2" s="1"/>
  <c r="G22" i="7"/>
  <c r="K27" i="7"/>
  <c r="J8" i="16"/>
  <c r="J12" i="16" s="1"/>
  <c r="D23" i="9"/>
  <c r="E8" i="1" s="1"/>
  <c r="D8" i="1"/>
  <c r="F38" i="5" l="1"/>
  <c r="D37" i="5"/>
  <c r="G37" i="5" s="1"/>
  <c r="P50" i="31"/>
  <c r="F1" i="31"/>
  <c r="E26" i="2"/>
  <c r="E32" i="3" s="1"/>
  <c r="D23" i="3"/>
  <c r="E29" i="5"/>
  <c r="E28" i="5"/>
  <c r="D36" i="5"/>
  <c r="G36" i="5" s="1"/>
  <c r="D35" i="5"/>
  <c r="G35" i="5" s="1"/>
  <c r="E27" i="5"/>
  <c r="L27" i="7"/>
  <c r="I12" i="16"/>
  <c r="M27" i="7"/>
  <c r="G27" i="7"/>
  <c r="D32" i="3" l="1"/>
  <c r="D35" i="3" s="1"/>
  <c r="G38" i="5"/>
  <c r="D16" i="32"/>
  <c r="F26" i="2"/>
  <c r="H26" i="2"/>
  <c r="D38" i="5"/>
  <c r="E35" i="3"/>
  <c r="J14" i="18"/>
  <c r="K14" i="18" s="1"/>
  <c r="G14" i="18" s="1"/>
  <c r="D9" i="1"/>
  <c r="D17" i="1"/>
  <c r="E17" i="1"/>
  <c r="E9" i="1"/>
  <c r="D13" i="19" s="1"/>
  <c r="F12" i="18" s="1"/>
  <c r="F111" i="24" l="1"/>
  <c r="E16" i="32"/>
  <c r="D30" i="32"/>
  <c r="F132" i="24" s="1"/>
  <c r="C13" i="19"/>
  <c r="E12" i="18" s="1"/>
  <c r="J12" i="18" s="1"/>
  <c r="K12" i="18" s="1"/>
  <c r="G12" i="18" s="1"/>
  <c r="D19" i="1"/>
  <c r="E19" i="1"/>
  <c r="D31" i="32" l="1"/>
  <c r="H119" i="24"/>
  <c r="H121" i="24" s="1"/>
  <c r="F136" i="24" s="1"/>
  <c r="E21" i="1"/>
  <c r="E25" i="1" s="1"/>
  <c r="H133" i="24" s="1"/>
  <c r="D21" i="1"/>
  <c r="D38" i="2"/>
  <c r="H137" i="24" l="1"/>
  <c r="D25" i="1"/>
  <c r="F133" i="24"/>
  <c r="E2" i="32"/>
  <c r="D24" i="32"/>
  <c r="D35" i="32"/>
  <c r="D9" i="19"/>
  <c r="F10" i="18" s="1"/>
  <c r="D21" i="19"/>
  <c r="D20" i="19"/>
  <c r="E24" i="32"/>
  <c r="E32" i="32" s="1"/>
  <c r="E34" i="32" s="1"/>
  <c r="E36" i="32" s="1"/>
  <c r="D22" i="3"/>
  <c r="F38" i="2"/>
  <c r="E31" i="1"/>
  <c r="E33" i="1" s="1"/>
  <c r="F137" i="24" l="1"/>
  <c r="D44" i="6"/>
  <c r="D29" i="2" s="1"/>
  <c r="F29" i="2" s="1"/>
  <c r="D29" i="1"/>
  <c r="C21" i="19"/>
  <c r="C20" i="19"/>
  <c r="D32" i="32"/>
  <c r="D34" i="32" s="1"/>
  <c r="D36" i="32" s="1"/>
  <c r="E17" i="32"/>
  <c r="F8" i="6"/>
  <c r="D11" i="19"/>
  <c r="F16" i="18" s="1"/>
  <c r="E8" i="3"/>
  <c r="E17" i="3" s="1"/>
  <c r="E36" i="1"/>
  <c r="E35" i="1"/>
  <c r="F10" i="6" l="1"/>
  <c r="D7" i="6" s="1"/>
  <c r="E18" i="32"/>
  <c r="H166" i="24"/>
  <c r="H165" i="24"/>
  <c r="F17" i="6" l="1"/>
  <c r="E10" i="2" s="1"/>
  <c r="D27" i="1"/>
  <c r="E36" i="2"/>
  <c r="D36" i="2"/>
  <c r="D35" i="2"/>
  <c r="E19" i="32" l="1"/>
  <c r="E20" i="32" s="1"/>
  <c r="C9" i="19"/>
  <c r="E10" i="18" s="1"/>
  <c r="J10" i="18" s="1"/>
  <c r="K10" i="18" s="1"/>
  <c r="G10" i="18" s="1"/>
  <c r="D130" i="6"/>
  <c r="D136" i="6" s="1"/>
  <c r="D21" i="2" s="1"/>
  <c r="D30" i="1"/>
  <c r="D31" i="1" s="1"/>
  <c r="D33" i="1" s="1"/>
  <c r="D9" i="3"/>
  <c r="C5" i="19"/>
  <c r="H10" i="2"/>
  <c r="H22" i="2" s="1"/>
  <c r="D8" i="19"/>
  <c r="F9" i="18" s="1"/>
  <c r="F36" i="2"/>
  <c r="H36" i="2"/>
  <c r="E35" i="2"/>
  <c r="E22" i="2"/>
  <c r="D8" i="3" l="1"/>
  <c r="D17" i="3" s="1"/>
  <c r="D8" i="6"/>
  <c r="C11" i="19"/>
  <c r="E16" i="18" s="1"/>
  <c r="J16" i="18" s="1"/>
  <c r="K16" i="18" s="1"/>
  <c r="G16" i="18" s="1"/>
  <c r="D36" i="1"/>
  <c r="D35" i="1"/>
  <c r="F21" i="2"/>
  <c r="C6" i="19"/>
  <c r="E8" i="18" s="1"/>
  <c r="D24" i="3"/>
  <c r="D12" i="19"/>
  <c r="F11" i="18" s="1"/>
  <c r="C14" i="19"/>
  <c r="E13" i="18" s="1"/>
  <c r="E19" i="3"/>
  <c r="E26" i="3" s="1"/>
  <c r="E29" i="3" s="1"/>
  <c r="E46" i="3" s="1"/>
  <c r="E49" i="3" s="1"/>
  <c r="G56" i="3" s="1"/>
  <c r="D14" i="19"/>
  <c r="F13" i="18" s="1"/>
  <c r="D5" i="19"/>
  <c r="F8" i="18" s="1"/>
  <c r="F35" i="2"/>
  <c r="H35" i="2"/>
  <c r="H39" i="2" s="1"/>
  <c r="D19" i="3"/>
  <c r="E39" i="2"/>
  <c r="D10" i="6" l="1"/>
  <c r="D17" i="6" s="1"/>
  <c r="D10" i="2" s="1"/>
  <c r="C17" i="19"/>
  <c r="E15" i="18" s="1"/>
  <c r="D26" i="3"/>
  <c r="D29" i="3" s="1"/>
  <c r="J8" i="18"/>
  <c r="K8" i="18" s="1"/>
  <c r="G8" i="18" s="1"/>
  <c r="F166" i="24"/>
  <c r="F165" i="24"/>
  <c r="D22" i="19"/>
  <c r="D17" i="19"/>
  <c r="F15" i="18" s="1"/>
  <c r="D48" i="3"/>
  <c r="D22" i="2" l="1"/>
  <c r="F10" i="2"/>
  <c r="F22" i="2" s="1"/>
  <c r="C8" i="19"/>
  <c r="E9" i="18" s="1"/>
  <c r="J9" i="18" s="1"/>
  <c r="K9" i="18" s="1"/>
  <c r="G9" i="18" s="1"/>
  <c r="J13" i="18"/>
  <c r="K13" i="18" s="1"/>
  <c r="G13" i="18" s="1"/>
  <c r="J15" i="18"/>
  <c r="K15" i="18" s="1"/>
  <c r="G15" i="18" s="1"/>
  <c r="D23" i="19"/>
  <c r="F17" i="18" s="1"/>
  <c r="C12" i="19" l="1"/>
  <c r="E11" i="18" s="1"/>
  <c r="J11" i="18" s="1"/>
  <c r="K11" i="18" s="1"/>
  <c r="G11" i="18" s="1"/>
  <c r="F10" i="8" l="1"/>
  <c r="D30" i="2" s="1"/>
  <c r="D43" i="3" s="1"/>
  <c r="D44" i="3" s="1"/>
  <c r="D46" i="3" s="1"/>
  <c r="D49" i="3" s="1"/>
  <c r="F56" i="3" s="1"/>
  <c r="F30" i="2" l="1"/>
  <c r="F39" i="2" s="1"/>
  <c r="D39" i="2"/>
  <c r="C22" i="19" s="1"/>
  <c r="C23" i="19" s="1"/>
  <c r="E17" i="18" s="1"/>
  <c r="J17" i="18" s="1"/>
  <c r="K17" i="18" s="1"/>
  <c r="G17" i="18" s="1"/>
</calcChain>
</file>

<file path=xl/sharedStrings.xml><?xml version="1.0" encoding="utf-8"?>
<sst xmlns="http://schemas.openxmlformats.org/spreadsheetml/2006/main" count="2012" uniqueCount="1162">
  <si>
    <t>Particulars</t>
  </si>
  <si>
    <t>For the year ended March 31, 2025</t>
  </si>
  <si>
    <t>For the year ended March 31, 2024</t>
  </si>
  <si>
    <t>I.</t>
  </si>
  <si>
    <t>II.</t>
  </si>
  <si>
    <t>III.</t>
  </si>
  <si>
    <t>IV.</t>
  </si>
  <si>
    <t xml:space="preserve"> </t>
  </si>
  <si>
    <t>V.</t>
  </si>
  <si>
    <t>VI.</t>
  </si>
  <si>
    <t>VII.</t>
  </si>
  <si>
    <t>VIII.</t>
  </si>
  <si>
    <t>Note No.</t>
  </si>
  <si>
    <t>XI.</t>
  </si>
  <si>
    <t>For S.P.P &amp; Co</t>
  </si>
  <si>
    <t>Chartered Accountants</t>
  </si>
  <si>
    <t>Partner</t>
  </si>
  <si>
    <t>I</t>
  </si>
  <si>
    <t>Total</t>
  </si>
  <si>
    <t>II</t>
  </si>
  <si>
    <t xml:space="preserve">For and on behalf of the Board of Directors of </t>
  </si>
  <si>
    <t>For and on behalf of the Board of directors of</t>
  </si>
  <si>
    <t>Amount</t>
  </si>
  <si>
    <t>No. of shares</t>
  </si>
  <si>
    <t>% Change during the year</t>
  </si>
  <si>
    <t>As at 
March 31, 2024</t>
  </si>
  <si>
    <t>As at March 31, 2024</t>
  </si>
  <si>
    <t>As at 31st March, 2024</t>
  </si>
  <si>
    <t xml:space="preserve"> Geographical Markets</t>
  </si>
  <si>
    <t xml:space="preserve"> Outside India</t>
  </si>
  <si>
    <t xml:space="preserve"> Bank Charges</t>
  </si>
  <si>
    <t xml:space="preserve"> Audit Fees</t>
  </si>
  <si>
    <t>Cash Flow Statement for the period ending 31st March, 2025</t>
  </si>
  <si>
    <t xml:space="preserve"> EQUITY AND LIABILITIES:</t>
  </si>
  <si>
    <t xml:space="preserve">  a. Share Capital</t>
  </si>
  <si>
    <t xml:space="preserve">  b. Trade Payables</t>
  </si>
  <si>
    <t xml:space="preserve"> ASSETS</t>
  </si>
  <si>
    <t>UDIN:</t>
  </si>
  <si>
    <t>CASH FLOW FROM OPERATING ACTIVITIES:</t>
  </si>
  <si>
    <t xml:space="preserve"> Adjustment for:</t>
  </si>
  <si>
    <t>CASH FLOW FROM INVESTING ACTIVITIES:</t>
  </si>
  <si>
    <t>A</t>
  </si>
  <si>
    <t>B</t>
  </si>
  <si>
    <t>C</t>
  </si>
  <si>
    <t>CASH FLOW FROM FINANCING ACTIVITIES:</t>
  </si>
  <si>
    <t xml:space="preserve"> Components of Cash and Cash Equivalents:</t>
  </si>
  <si>
    <t xml:space="preserve">  (i) Current Accounts</t>
  </si>
  <si>
    <t>D</t>
  </si>
  <si>
    <t>E</t>
  </si>
  <si>
    <t>F</t>
  </si>
  <si>
    <t>G</t>
  </si>
  <si>
    <t>PLACE: COIMBATORE</t>
  </si>
  <si>
    <t>DATE:</t>
  </si>
  <si>
    <t>For and On behalf of the Board of Directors of</t>
  </si>
  <si>
    <t>Firm Registration Number: 011059S</t>
  </si>
  <si>
    <t>CA S Prabhu</t>
  </si>
  <si>
    <t>Membership No: 213598</t>
  </si>
  <si>
    <t xml:space="preserve">DATE: </t>
  </si>
  <si>
    <t xml:space="preserve"> Interest Income</t>
  </si>
  <si>
    <t xml:space="preserve"> Provision for Audit Fees</t>
  </si>
  <si>
    <t>S.No</t>
  </si>
  <si>
    <t xml:space="preserve"> Surplus/ (Deficit) in the statement of P&amp;L</t>
  </si>
  <si>
    <t xml:space="preserve"> Balance at the beginning of the year</t>
  </si>
  <si>
    <t>Cost of Material Consumed</t>
  </si>
  <si>
    <t xml:space="preserve"> Printing &amp; Stationery Expenses</t>
  </si>
  <si>
    <t xml:space="preserve"> Travelling Expenses</t>
  </si>
  <si>
    <t xml:space="preserve"> 1. Basic</t>
  </si>
  <si>
    <t xml:space="preserve"> 2. Diluted</t>
  </si>
  <si>
    <t xml:space="preserve"> Net Increase /(Decrease) in Cash and Cash Equivalents </t>
  </si>
  <si>
    <t xml:space="preserve"> (A + B + C)</t>
  </si>
  <si>
    <t>Closing Balance</t>
  </si>
  <si>
    <t xml:space="preserve"> Sub-Total </t>
  </si>
  <si>
    <t xml:space="preserve"> Less: Provision for doubtful debts</t>
  </si>
  <si>
    <t xml:space="preserve"> Prepaid Expenses</t>
  </si>
  <si>
    <t>Name of the Assets</t>
  </si>
  <si>
    <t>Gross Block</t>
  </si>
  <si>
    <t>Accumulated Depreciation / Amortization</t>
  </si>
  <si>
    <t>Net Block</t>
  </si>
  <si>
    <t>Balance as at 31st March 2024</t>
  </si>
  <si>
    <t>Additions during the year</t>
  </si>
  <si>
    <t>Deletions during the year</t>
  </si>
  <si>
    <t>Provided during the year</t>
  </si>
  <si>
    <t>Useful Life</t>
  </si>
  <si>
    <t>CA S. Prabhu</t>
  </si>
  <si>
    <t xml:space="preserve"> Depreciation and Amortization Expense</t>
  </si>
  <si>
    <t xml:space="preserve"> Interest &amp; Other Finance Charges</t>
  </si>
  <si>
    <t xml:space="preserve"> (Profit) / Loss on Sale / Write off Assets</t>
  </si>
  <si>
    <t xml:space="preserve"> Operating Profit before Working Capital Changes</t>
  </si>
  <si>
    <t xml:space="preserve"> Changes in Working Capital:</t>
  </si>
  <si>
    <t xml:space="preserve"> (Increase) / Decrease in Trade Receivables</t>
  </si>
  <si>
    <t xml:space="preserve"> (Increase) / Decrease in Inventories</t>
  </si>
  <si>
    <t xml:space="preserve"> (Increase) / Decrease in Other Current Assets</t>
  </si>
  <si>
    <t xml:space="preserve"> Increase / (Decrease) in Trade Payables</t>
  </si>
  <si>
    <t xml:space="preserve">  c. Other Current Liabilities</t>
  </si>
  <si>
    <t xml:space="preserve"> Shareholders' Funds:</t>
  </si>
  <si>
    <t xml:space="preserve">  b. Reserves and Surplus</t>
  </si>
  <si>
    <t xml:space="preserve"> Non-Current Liabilities:</t>
  </si>
  <si>
    <t xml:space="preserve">  a. Long-Term Borrowings</t>
  </si>
  <si>
    <t xml:space="preserve">  b. Deferred Tax Liabilities (Net)</t>
  </si>
  <si>
    <t xml:space="preserve"> Current Liabilities:</t>
  </si>
  <si>
    <t xml:space="preserve">  a. Short-Term Borrowings</t>
  </si>
  <si>
    <t xml:space="preserve">  d. Short-Term Provisions</t>
  </si>
  <si>
    <t xml:space="preserve"> Current Assets:</t>
  </si>
  <si>
    <t>As Per our Report of even date Attached</t>
  </si>
  <si>
    <t xml:space="preserve"> Revenue from Operations</t>
  </si>
  <si>
    <t xml:space="preserve"> Other Income</t>
  </si>
  <si>
    <t xml:space="preserve">  d. Finance Costs</t>
  </si>
  <si>
    <t xml:space="preserve"> Exceptional Items</t>
  </si>
  <si>
    <t xml:space="preserve"> 1. Current Tax</t>
  </si>
  <si>
    <t xml:space="preserve"> Profit (Loss) for the period from Continuing </t>
  </si>
  <si>
    <t xml:space="preserve"> Earnings per Equity Share:</t>
  </si>
  <si>
    <t xml:space="preserve"> Cash Generated from Operations</t>
  </si>
  <si>
    <t xml:space="preserve"> Add: Income-Tax Refunded</t>
  </si>
  <si>
    <t xml:space="preserve"> Less: Income Taxes Paid</t>
  </si>
  <si>
    <t xml:space="preserve"> Net Cash Flow from Operating Activities (A)</t>
  </si>
  <si>
    <t xml:space="preserve"> Purchase of Property, Plant and Equipment</t>
  </si>
  <si>
    <t xml:space="preserve"> Interest Received</t>
  </si>
  <si>
    <t xml:space="preserve"> Net Cash Flow used in Investing Activities (B)</t>
  </si>
  <si>
    <t xml:space="preserve"> Interest &amp; Other Finance Charges on Loan Paid</t>
  </si>
  <si>
    <t xml:space="preserve"> Net Cash used in Financing Activities (C)</t>
  </si>
  <si>
    <t xml:space="preserve"> Cash and Cash Equivalents at the Beginning of the year</t>
  </si>
  <si>
    <t xml:space="preserve"> Cash and Cash Equivalents at the End of the year</t>
  </si>
  <si>
    <t xml:space="preserve"> Cash on Hand</t>
  </si>
  <si>
    <t xml:space="preserve"> Balances with Banks:</t>
  </si>
  <si>
    <t>Total Cash and Cash Equivalents</t>
  </si>
  <si>
    <t>A. Tangible Assets</t>
  </si>
  <si>
    <t>B. Intangible Assets</t>
  </si>
  <si>
    <t>C. Capital Work-in-Progress</t>
  </si>
  <si>
    <t xml:space="preserve"> Advertisement, Marketing, Publicity Expenses</t>
  </si>
  <si>
    <t>Total (A)</t>
  </si>
  <si>
    <t>Total (B)</t>
  </si>
  <si>
    <t>Total ( C)</t>
  </si>
  <si>
    <t>Depreciation as per Income Tax Act, 1961</t>
  </si>
  <si>
    <t>W.D.V as on 31st March 2024</t>
  </si>
  <si>
    <t>Additions</t>
  </si>
  <si>
    <t>Less than 180 Days</t>
  </si>
  <si>
    <t>More than 180 Days</t>
  </si>
  <si>
    <t>Deletions</t>
  </si>
  <si>
    <t>Depreciable Value</t>
  </si>
  <si>
    <t>Rate of Dep</t>
  </si>
  <si>
    <t>Dep Amt</t>
  </si>
  <si>
    <t>W.D.V as on 31st March 2025</t>
  </si>
  <si>
    <t xml:space="preserve">     i. Tangible Assets</t>
  </si>
  <si>
    <t>Plant &amp; Machinery</t>
  </si>
  <si>
    <t xml:space="preserve"> Other operating revenues</t>
  </si>
  <si>
    <t xml:space="preserve"> Total Revenue </t>
  </si>
  <si>
    <t>Numerator</t>
  </si>
  <si>
    <t>Denominator</t>
  </si>
  <si>
    <t>31st March, 2024</t>
  </si>
  <si>
    <t>Current Ratio</t>
  </si>
  <si>
    <t>Debt-Equity Ratio</t>
  </si>
  <si>
    <t>Debt Service Coverage Ratio</t>
  </si>
  <si>
    <t>Return on Equity</t>
  </si>
  <si>
    <t>Trade Receivable Turnover Ratio</t>
  </si>
  <si>
    <t>Current Assets</t>
  </si>
  <si>
    <t>Current Liabilities</t>
  </si>
  <si>
    <t>31st March 2025</t>
  </si>
  <si>
    <t>Average Trade Receivable</t>
  </si>
  <si>
    <t>Total Debt</t>
  </si>
  <si>
    <t>Shareholder's Equity</t>
  </si>
  <si>
    <t>Earnings Available for Debt Service</t>
  </si>
  <si>
    <t>Debt Service</t>
  </si>
  <si>
    <t>Net Profit After Tax</t>
  </si>
  <si>
    <t>Average Shareholder's Equity</t>
  </si>
  <si>
    <t>Trade Payable Turnover Ratio</t>
  </si>
  <si>
    <t>Net Capital Turnover Ratio</t>
  </si>
  <si>
    <t>Net Profit Ratio</t>
  </si>
  <si>
    <t>Return on Capital Employed</t>
  </si>
  <si>
    <t>Return on Investment</t>
  </si>
  <si>
    <t>Average Trade Payable</t>
  </si>
  <si>
    <t xml:space="preserve">Net Profit  </t>
  </si>
  <si>
    <t>EBIT</t>
  </si>
  <si>
    <t>Total Assets - Total Current Liabilities</t>
  </si>
  <si>
    <t>Income Generated from Investment</t>
  </si>
  <si>
    <t>Time Weighted average Investment</t>
  </si>
  <si>
    <t>Ratio Analysis Numerator &amp; Denominator Calculation :-</t>
  </si>
  <si>
    <t xml:space="preserve">Total Assets  </t>
  </si>
  <si>
    <t>Interest income in recognised on the time basis determined by the amount outstanding and rate applicable and where no significant uncertainty as to measurability or collectability exists.</t>
  </si>
  <si>
    <t>Net realisable value is estimated selling price in the ordinary course of business less estimated cost of completion and selling expenses.</t>
  </si>
  <si>
    <t>All other borrowing costs are charged as expenses in the statement of Profit &amp; Loss Account.</t>
  </si>
  <si>
    <t>Borrowing costs that are attributable to the acquisition or construction of the qualifying assets are capitalized as part of the cost of such assets. A qualifying asset in one that necessarily takes a substantial period of time to get ready for its intended uses or sale.</t>
  </si>
  <si>
    <t>The amount of Borrowing cost capitalized during the year is Nil.</t>
  </si>
  <si>
    <t>Deferred tax assets in respect of unabsorbed depreciation and carry forward of losses are recognised only if there is virtual certainty that there will be sufficient future taxable income available to realise such assets. Other deferred tax assets are recognised if there is a reasonable certainty that there will be sufficient future taxable income to realize such assets.</t>
  </si>
  <si>
    <t>There has been no change in Accounting Policy of the company, other than the changes in the presentation and otherwise mandated by the application of the provisions of the relevant sections of the Companies Act, 2013.</t>
  </si>
  <si>
    <t>Revenue is recognized only when it can be readily measured and it is reasonable to expect ultimate collection. Revenue from operations includes sale of goods and/or services and are recorded as invoice value exclusive of GST and net of returns/discounts.</t>
  </si>
  <si>
    <t>Provisions are recognized when there is a present obligation as a result of a past event, it is probable that an outflow of resources embodying economic benefits will be required to settle the obligation and there is a reliable estimate of the amount of the obligation. Provisions are measured at the best estimate of the expenditure required to settle the present obligation at the Balance sheet date. Where no reliable estimate can be made, a disclosure is made as contingent liability. A disclosure for a contingent liability is also made when there is a possible obligation or a present obligation that may, but probably will not, require an outflow of resources.</t>
  </si>
  <si>
    <t>Cash comprises cash on hand and demand deposits with banks. Cash equivalents are short-term balances (with an original maturity of three months or less from the date of acquisition), highly liquid investments that are readily convertible into known amounts of cash and which are subject to insignificant risk of changes in value.</t>
  </si>
  <si>
    <t xml:space="preserve">  b. Changes in inventories of FG, WIP &amp; SIT</t>
  </si>
  <si>
    <t xml:space="preserve">  c. Employee Benefits Expense</t>
  </si>
  <si>
    <t xml:space="preserve">  e. Depreciation &amp; Amortization Expense</t>
  </si>
  <si>
    <t xml:space="preserve">  f. Other Expenses</t>
  </si>
  <si>
    <t>TOTAL EXPENSES (IV)</t>
  </si>
  <si>
    <t>EXPENSES : -</t>
  </si>
  <si>
    <t>TOTAL INCOME (I+II)</t>
  </si>
  <si>
    <t xml:space="preserve"> PROFIT BEFORE TAX (VII-VIII)</t>
  </si>
  <si>
    <t>TAX EXPENSES : -</t>
  </si>
  <si>
    <t xml:space="preserve"> Salaries &amp; Wages</t>
  </si>
  <si>
    <t>Changes in Inventory</t>
  </si>
  <si>
    <t>Statement of Changes in Significant Accounting Ratio's :-</t>
  </si>
  <si>
    <t>Changes In Ratio's</t>
  </si>
  <si>
    <t>GENERAL INFORMATION: -</t>
  </si>
  <si>
    <t xml:space="preserve">CORPORATE INFORMATION: - </t>
  </si>
  <si>
    <t>BASIS OF PREPARATION AND MEASUREMENT: -</t>
  </si>
  <si>
    <t>USE OF ESTIMATES: -</t>
  </si>
  <si>
    <t>The Preparation of financial statements in conformity with Indian GAAP requires the management to make judgements, estimates and assumptions that affect the applications of accounting policies and the reported amounts of assets, liabilities, income and expenses and disclosure of contingent liabilities, at the end of the reporting period.</t>
  </si>
  <si>
    <t>OPERATING CYCLE: -</t>
  </si>
  <si>
    <t>SIGNIFICANT ACCOUNTING POLICIES: -</t>
  </si>
  <si>
    <t>REVENUE RECOGNITION: -</t>
  </si>
  <si>
    <t xml:space="preserve">a. Revenue should be recognized when the seller of the goods has transferred to the buyer in the goods for a consideration or </t>
  </si>
  <si>
    <t xml:space="preserve">b. All significant risks and rewards of ownership have been transferred to the buyers. And </t>
  </si>
  <si>
    <t>c. No significant uncertainty exists regarding the amount of consideration that will be derived from the sale of goods.</t>
  </si>
  <si>
    <t>OTHER INCOME: -</t>
  </si>
  <si>
    <t xml:space="preserve">EMPLOYEE BENEFITS EXPENSES: - </t>
  </si>
  <si>
    <t>All employee benefits falling due wholly within 12 months of rendering the service are classified as short term employee benefits. Benefits like Salary, Wages, short term compensated absences, the expected cost of bonus etc., are recognised in the period in which the employee renders the related service.</t>
  </si>
  <si>
    <t>Depreciation is calculated on the cost of Fixed assets less their estimated residual values using the straight-line method over the estimated useful lives and is generally recognised in the statement of Profit and Loss Account. Freehold land is not depreciated</t>
  </si>
  <si>
    <t xml:space="preserve">INVENTORIES: - </t>
  </si>
  <si>
    <t>FIXED ASSETS: -</t>
  </si>
  <si>
    <t>PPE is recognized when it is probable that future economic benefits associated with the item will flow to the company and the cost of the item can be measured reliably. PPE is stated at original cost net of tax / duty credit availed, if any, less accumulated depreciation and cumulative impairment.</t>
  </si>
  <si>
    <t xml:space="preserve">Intangible assets are stated at original cost net of tax / duty credit availed, if any, less accumulated depreciation and cumulative impairment. Intangible assets are recognized when it is probable that future economic benefits that are attributable to the assets will flow to the company and the cost of the item can be measured reliably. </t>
  </si>
  <si>
    <t>PPE not ready for the intended use on the date of balance sheet are disclosed as ‘Capital Work-in Progress’</t>
  </si>
  <si>
    <t xml:space="preserve">IMPAIRMENT OF ASSETS: - </t>
  </si>
  <si>
    <t>Management periodically assesses using external and internal sources whether there is an indication that an asset may be impaired. If any such indication exists, the Company estimates the recoverable amount. If the carrying amount of the asset exceeds its recoverable amount, an impairment loss is recognized in the Statement of Profit and Loss to the extent the carrying amount exceeds the recoverable amount. The impairment loss recognized in the prior accounting period is reversed if there has been a change in the estimate of recoverable amount</t>
  </si>
  <si>
    <t>INVESTMENTS: -</t>
  </si>
  <si>
    <t>LEASES: -</t>
  </si>
  <si>
    <t>INCOME TAXES: -</t>
  </si>
  <si>
    <t>Deferred tax is measured using the tax rates and the tax laws enacted or substantially enacted as at the reporting date.</t>
  </si>
  <si>
    <t>CASH AND CASH EQUIVALENTS: -</t>
  </si>
  <si>
    <t>CASH FLOW STATEMENT: -</t>
  </si>
  <si>
    <t>FOREIGN EXCHANGE TRANSACTIONS: -</t>
  </si>
  <si>
    <t xml:space="preserve"> Directors Remuneration</t>
  </si>
  <si>
    <t xml:space="preserve"> Postage &amp; Courier Charges</t>
  </si>
  <si>
    <t xml:space="preserve"> Legal and Professional Charges</t>
  </si>
  <si>
    <t xml:space="preserve"> Freight Outward Charges</t>
  </si>
  <si>
    <t xml:space="preserve"> Office Maintenance</t>
  </si>
  <si>
    <t xml:space="preserve"> Opening stock : -</t>
  </si>
  <si>
    <t xml:space="preserve"> Closing stock : -</t>
  </si>
  <si>
    <t xml:space="preserve">  </t>
  </si>
  <si>
    <t xml:space="preserve"> Statutory Dues :-</t>
  </si>
  <si>
    <t>Balance Sheet as at 31st March 2025</t>
  </si>
  <si>
    <t xml:space="preserve"> Non-Current Assets:</t>
  </si>
  <si>
    <t xml:space="preserve"> a. Property, Plant &amp; Equipments</t>
  </si>
  <si>
    <t xml:space="preserve">     ii. Intangible Assets</t>
  </si>
  <si>
    <t>Profit and Loss Statement for the year ended 31st March 2025</t>
  </si>
  <si>
    <t>The Company follows Mercantile System of Accounting and recognizes Income &amp; Expenditure on an accrual basis except in case of significant uncertainties.</t>
  </si>
  <si>
    <t>All assets and liabilities have been classified as current or non-current as per the Company's normal operating cycle. Based on the nature of services and the time between the acquisition of assets for providing of services and their realisation in cash and cash equivalents, the Company has ascertained its operating cycle as 12 months.</t>
  </si>
  <si>
    <t>CLASSIFICATION OF ASSETS &amp; LIABILITIES AS CURRENT &amp; NON-CURRENT: -</t>
  </si>
  <si>
    <t>a. It is expected to be realised in, or is intended for sale or consumption in, the company's normal operating cycle;</t>
  </si>
  <si>
    <t>b. It is held primarily for the purpose of being traded;</t>
  </si>
  <si>
    <t>c. It is expected to be realised within 12 Months after the reporting date or</t>
  </si>
  <si>
    <t>d. It is cash or cash equivalent unless it is restricted from being exchanged or used to settle a liability for at least 12 Months after the reporting date.</t>
  </si>
  <si>
    <t>All other assets shall be classified as non-current.</t>
  </si>
  <si>
    <t>a. It is expected to be settled in the company's normal operating cycle;</t>
  </si>
  <si>
    <t>b. It is held primarily for the purpose of being trading;</t>
  </si>
  <si>
    <t>c. It is due to be settled within 12 Months after the reporting date; or</t>
  </si>
  <si>
    <t>d. The company does not have an unconditional right to defer settlement of the liability for at least 12 Months after the reporting date. Terms of a liability that could, at the option of the counterparty, result in its settlement by the issue of equity instruments to not affact its classification.</t>
  </si>
  <si>
    <t>All other liabilities shall be classified as non-current.</t>
  </si>
  <si>
    <r>
      <t>As on 31</t>
    </r>
    <r>
      <rPr>
        <vertAlign val="superscript"/>
        <sz val="11.5"/>
        <rFont val="Arial"/>
        <family val="2"/>
      </rPr>
      <t>st</t>
    </r>
    <r>
      <rPr>
        <sz val="11.5"/>
        <rFont val="Arial"/>
        <family val="2"/>
      </rPr>
      <t xml:space="preserve"> March 2025 none of the fixed assets were considered impaired.</t>
    </r>
  </si>
  <si>
    <t>Investments that are readily realisable and intended to be held for not more than a year are classified as current investment. All other investments are classified as long-term investment.</t>
  </si>
  <si>
    <t>Current investments are valued at the lower of cost or fair value. Changes in the carrying amount of current investments are recognized in the statement of Profit &amp; Loss. Long term investments are valued at cost, less any provision for diminution to recognise a dicline, other than temporary, in the value of such investments: decline if any, is charged to the Statement of Profit &amp; Loss. Cost comprises cost of acquisation and related expenses such as brokerage and stamp duties.</t>
  </si>
  <si>
    <t>Currently, Company has no investment in any other Company</t>
  </si>
  <si>
    <t>Tax expenses comprises Current tax and Deferred taxes.</t>
  </si>
  <si>
    <t>a)     The Functional currency and Presentation currency of the company is Indian Rupee.</t>
  </si>
  <si>
    <r>
      <t>PROVISIONS, CONTINGENT LIABILITIES AND CONTINGENT ASSETS: -</t>
    </r>
    <r>
      <rPr>
        <u/>
        <sz val="11.5"/>
        <rFont val="Arial"/>
        <family val="2"/>
      </rPr>
      <t xml:space="preserve"> </t>
    </r>
  </si>
  <si>
    <t>Defined Contribution Plan:</t>
  </si>
  <si>
    <t>A defined contribution plan is a post-employment benefit plan under which  the company pays specified contributions to a separate entity and has no obligation to pay any further amounts. The company makes specified monthly contributions towards Employee State Insurance (ESI) Scheme and Provident Fund (PF) Scheme. The contribution paid/payable under the scheme is recognized as a expenses in the statement of Profit &amp; Loss during the period in which the employee renders the related services.</t>
  </si>
  <si>
    <t xml:space="preserve"> BORROWING COSTS: -</t>
  </si>
  <si>
    <t>Depreciation on tangible assets is provided (on the SLM basis) over the useful lives estimated as per Schedule II of Companies Act, 2013. Depreciation for assets purchased / sold during a period is proportionately charged.</t>
  </si>
  <si>
    <t>EARNINGS PER SHARE</t>
  </si>
  <si>
    <t>The basic earnings per share are computed by dividing the net profit for the period attributable to equity shareholders by the weighted average number of equity shares outstanding during the period.</t>
  </si>
  <si>
    <t>Diluted earnings per share is calculated by dividing the net profit after tax for the period attributable to equity shareholders by the weighted average number of equity shares outstanding including equity shares which would have been issued on the conversion of all dilutive potential equity shares unless they are considered anti-dilutive nature.</t>
  </si>
  <si>
    <t xml:space="preserve">SEGMENT REPORTING: - </t>
  </si>
  <si>
    <t>Cost of inventories is inclusive of cost of purchase, cost of conversion and other cost incurred in bringing the inventories to their present location and condition.</t>
  </si>
  <si>
    <t>Notes Forming Part of the Financial Statements for the year ended 31th March 2025</t>
  </si>
  <si>
    <t>DISCLOSURE REQUIRMENTS :-</t>
  </si>
  <si>
    <t xml:space="preserve"> Particulars</t>
  </si>
  <si>
    <t xml:space="preserve"> Contribution to Employees State Insurance</t>
  </si>
  <si>
    <t xml:space="preserve"> Contribution to Employees Provident Fund</t>
  </si>
  <si>
    <t xml:space="preserve"> Expenses recognised during the year</t>
  </si>
  <si>
    <t>Key Management Personnel :-</t>
  </si>
  <si>
    <t>Name of the Related Parties &amp; their transactions</t>
  </si>
  <si>
    <t>As at 31st March 2025</t>
  </si>
  <si>
    <t>As at 31st March 2024</t>
  </si>
  <si>
    <t xml:space="preserve"> Particular</t>
  </si>
  <si>
    <t>(DTA) / DTL Provided during the year</t>
  </si>
  <si>
    <t xml:space="preserve"> Accounting Profit before Income Tax</t>
  </si>
  <si>
    <t xml:space="preserve"> Adjustments to Accounting Profit :</t>
  </si>
  <si>
    <t xml:space="preserve"> Disallowance u/s 43B, 40(a)(i) of IT Act</t>
  </si>
  <si>
    <t xml:space="preserve"> Other disallowance as per IT Act</t>
  </si>
  <si>
    <t xml:space="preserve"> Expenses allowed as per IT Act</t>
  </si>
  <si>
    <t xml:space="preserve"> Depreciation allowed as per P&amp;L Account</t>
  </si>
  <si>
    <t xml:space="preserve"> Depreciation allowed as per IT Act, 1961</t>
  </si>
  <si>
    <t xml:space="preserve"> Total Adjustments to Accounting Profit</t>
  </si>
  <si>
    <t xml:space="preserve"> Taxable Income as per Income tax Act</t>
  </si>
  <si>
    <t xml:space="preserve"> Corporate Tax Rate</t>
  </si>
  <si>
    <t xml:space="preserve"> Current tax ( DXE)</t>
  </si>
  <si>
    <t xml:space="preserve"> Deferred Tax Liability / (Assets)</t>
  </si>
  <si>
    <t xml:space="preserve"> Tax expenses debited to P&amp;L A/c</t>
  </si>
  <si>
    <t xml:space="preserve"> Profit after tax</t>
  </si>
  <si>
    <t xml:space="preserve"> Weighted Average Number of Shares</t>
  </si>
  <si>
    <t xml:space="preserve">    - Basic</t>
  </si>
  <si>
    <t xml:space="preserve">    - Diluted</t>
  </si>
  <si>
    <t xml:space="preserve"> Earnings per Share (face value of Rs. 10 each)</t>
  </si>
  <si>
    <t xml:space="preserve">   - Basic</t>
  </si>
  <si>
    <t xml:space="preserve">   - Diluted</t>
  </si>
  <si>
    <t>Outstanding for following periods from due date of transaction</t>
  </si>
  <si>
    <t>1 - 2 Years</t>
  </si>
  <si>
    <t>2 - 3 Years</t>
  </si>
  <si>
    <t>(ii) Others</t>
  </si>
  <si>
    <t>(iv) Disputed dues - Others</t>
  </si>
  <si>
    <t>Principal</t>
  </si>
  <si>
    <t>Interest</t>
  </si>
  <si>
    <t>(b) The amount of interest paid by the buyer in terms of section 16 of the MSMED Act, along with the amount of the payment made to the supplier beyond the appointed day during each accounting year.</t>
  </si>
  <si>
    <t>(c) The amount of interest due and payable for the period of delay in making payment (which have been paid but beyond the appointed day during the year) but without adding the interest specified under the MSMED Act.</t>
  </si>
  <si>
    <t>(d) The amount of interest accrued and remaining unpaid at the end of each accounting year.</t>
  </si>
  <si>
    <t>(e) The amount of further interest remaining due and payable even in the succeeding years, until such date when the interest dues above are actually paid to the small enterprise, for the purpose of disallowance of a deductible expenditure under section 23 of the MSMED Act.</t>
  </si>
  <si>
    <t>6 Months to 1 year</t>
  </si>
  <si>
    <t>(i) Undisputed Trade Receivables - Considered Goods</t>
  </si>
  <si>
    <t>(ii) Undisputed Trade Receivables - Credit impaired</t>
  </si>
  <si>
    <t>(iii) Disputed Trade Receivables - Considered goods</t>
  </si>
  <si>
    <t>(i) Undisputed Trade Receivables - Considered Goods : -</t>
  </si>
  <si>
    <t>OTHER DISCLOSURES :-</t>
  </si>
  <si>
    <t>No Proceedings have been initiated on or are pending against the Company for holding benami property under the Benami Transactions (Prohibition) Act, 1988 and Rules made thereunder.</t>
  </si>
  <si>
    <t>As per the information available with the Companny, the Company has no transactions with Companies struck off under section 248 of the Companies Act, 2013 or section 560 of Companies Act, 1956.</t>
  </si>
  <si>
    <t>The Company has not been declared as a wilful defaulter by any bank or financial institution or government or any government authority.</t>
  </si>
  <si>
    <t>The Company has not traded or invested in Crypto currency or Virtual currency during the financial year ended March 31, 2025.</t>
  </si>
  <si>
    <t>The Company has not entered into any such transaction which is not recorded in the books of accounts that has been surrendered or disclosed as income during the year in the tax assessments under the Income Tax Act, 1961 (such as, search or survey or any other relevant provisions of the Income Tax Act, 1961.</t>
  </si>
  <si>
    <t>EVENTS AFTER REPORTING DATE :-</t>
  </si>
  <si>
    <t>There have been no events after the reporting date that require disclosure in the financial statements.</t>
  </si>
  <si>
    <t>PRIOR PERIOD COMPARATIVES:</t>
  </si>
  <si>
    <t>Previous year's figures have been regrouped / reclassified, wherever necessary, to conform to this year's classification.</t>
  </si>
  <si>
    <t>H</t>
  </si>
  <si>
    <t>(iv) Disputed Trade Receivables - Credit Impaired</t>
  </si>
  <si>
    <t>(ii).</t>
  </si>
  <si>
    <t>(i).</t>
  </si>
  <si>
    <t xml:space="preserve"> Increase / (Decrease) in Short term Provisions</t>
  </si>
  <si>
    <t xml:space="preserve"> Increase / (Decrease) in Other Current Liabilities</t>
  </si>
  <si>
    <t>As at 
March 31, 2025</t>
  </si>
  <si>
    <t>Numbers</t>
  </si>
  <si>
    <t xml:space="preserve"> AUTHORISED</t>
  </si>
  <si>
    <t xml:space="preserve"> Equity Shares par value of Rs.10 /- each</t>
  </si>
  <si>
    <t xml:space="preserve"> ISSUED, SUBSCRIBED AND FULLY PAID UP</t>
  </si>
  <si>
    <t xml:space="preserve"> Equity Shares par value of Rs.10/- each </t>
  </si>
  <si>
    <t>As at 31st March, 2025</t>
  </si>
  <si>
    <t>The Company has only one class of equity shares having a par of value of Rs.10/- per share. Each holder of equity share is entitled to one vote per share. The divident proposed by the board of directors is subject to the approval of the shareholders in the ensuring Annual General Meeting, except in case of interim divident. In the event of liquidation of the company, The holders of equity shares will be entitled to receive remaining assets of the company, after distribution of all preferential amounts. The distribution will be in proportion to the no. of equity shares held by the shareholder.</t>
  </si>
  <si>
    <t xml:space="preserve"> Equity Shares</t>
  </si>
  <si>
    <t xml:space="preserve"> At the beginning of the year</t>
  </si>
  <si>
    <t xml:space="preserve"> Add: Shares issued during the year</t>
  </si>
  <si>
    <t xml:space="preserve"> Outstanding at the end of the year</t>
  </si>
  <si>
    <t>The details of the shares held by promoters as at March 31, 2025 are as follows :</t>
  </si>
  <si>
    <t>Name of the Promotor (P) /  Promotor Group (PG)</t>
  </si>
  <si>
    <t>As on 31-Mar-2025</t>
  </si>
  <si>
    <t>As on 31-Mar-2024</t>
  </si>
  <si>
    <t>No of Shares</t>
  </si>
  <si>
    <t xml:space="preserve"> Less: Current Maturities of Long-term Borrowings</t>
  </si>
  <si>
    <t xml:space="preserve"> Loan Repayable on demand from bank - Secured :-</t>
  </si>
  <si>
    <t xml:space="preserve"> Current Maturities of Long-term Borrowings</t>
  </si>
  <si>
    <t xml:space="preserve">     - GST Payable </t>
  </si>
  <si>
    <t xml:space="preserve">     - Salary &amp; Wages Payable</t>
  </si>
  <si>
    <t xml:space="preserve"> Provision for Income tax</t>
  </si>
  <si>
    <t xml:space="preserve"> Provision for Employee Benefits :-</t>
  </si>
  <si>
    <t xml:space="preserve"> Other Payables:-</t>
  </si>
  <si>
    <t xml:space="preserve"> Security Deposits :-</t>
  </si>
  <si>
    <t xml:space="preserve"> Raw Materials</t>
  </si>
  <si>
    <t xml:space="preserve"> Un-secured, Considered goods</t>
  </si>
  <si>
    <t xml:space="preserve"> Doubtful</t>
  </si>
  <si>
    <t xml:space="preserve"> On Current Accounts</t>
  </si>
  <si>
    <t xml:space="preserve"> A. Balances with banks :-</t>
  </si>
  <si>
    <t xml:space="preserve"> Balance with government authorities :-</t>
  </si>
  <si>
    <t>Inventory Turnover Ratio</t>
  </si>
  <si>
    <t xml:space="preserve"> Incentives Paid</t>
  </si>
  <si>
    <t xml:space="preserve"> Bonus Paid</t>
  </si>
  <si>
    <t xml:space="preserve">     - Employer ESI Contribution</t>
  </si>
  <si>
    <t xml:space="preserve">     - Employer PF Contribution</t>
  </si>
  <si>
    <t xml:space="preserve"> Bank Interest</t>
  </si>
  <si>
    <t xml:space="preserve"> Other Interest Expenses</t>
  </si>
  <si>
    <t xml:space="preserve"> Depreciation</t>
  </si>
  <si>
    <t xml:space="preserve"> Amortization Expenses</t>
  </si>
  <si>
    <t xml:space="preserve"> B. Administrative Overhead :-</t>
  </si>
  <si>
    <t xml:space="preserve"> License, Rates &amp; Taxes</t>
  </si>
  <si>
    <t xml:space="preserve"> A. Direct Expenses :-</t>
  </si>
  <si>
    <t xml:space="preserve"> As Auditors:</t>
  </si>
  <si>
    <t xml:space="preserve"> Statutory Audit Fees </t>
  </si>
  <si>
    <t xml:space="preserve"> In other capacity:</t>
  </si>
  <si>
    <t xml:space="preserve"> Tax Audit Fees</t>
  </si>
  <si>
    <t xml:space="preserve"> Certifications</t>
  </si>
  <si>
    <t xml:space="preserve"> (Increase) /  Decrease in Short term Loans &amp; Advances</t>
  </si>
  <si>
    <t xml:space="preserve"> Changes in Short-term Borrowings</t>
  </si>
  <si>
    <t xml:space="preserve"> Changes in Long-term Loans &amp; Advances</t>
  </si>
  <si>
    <t>The Company has identified business segments as its primary segment and geographic segments as its secondary segment.</t>
  </si>
  <si>
    <t>Since the Company's business activity falls within a single business segment, there is no additional disclosures to be provided under AS-17 "Segment Reporting".</t>
  </si>
  <si>
    <t>The Company has not revalued its property, plant and equipments (including right of use of assets) or intangible assets or both during the current and previous year.</t>
  </si>
  <si>
    <t>The Company does not have any charges or satisfaction which is yet to be registered with ROC beyond the statutory period.</t>
  </si>
  <si>
    <t>This is the summary of significant accounting policies and other explanatory information referred to in our report of even date.</t>
  </si>
  <si>
    <t>The Financial Statements of the Company have been prepared under the historical cost convention on an accrual basis.</t>
  </si>
  <si>
    <t>The Financial Statements have been prepared in Accordance with the Generally Accepted Accounting Principles in India (Indian GAAP) including Accounting Standards notified under Section 133 of Companies Act, 2013 read with Rule 7 of the Companies (Accounts) Rules, 2014 and the relevant provisions of the Companies Act, 2013.</t>
  </si>
  <si>
    <t>Directly or indirectly lend or invest in other persons or entities identified in any manner whatsoever by or on behalf of the company (ultimate Beneficiaries)</t>
  </si>
  <si>
    <t>Provided any guarantee or security or the like on behalf of the Ultimate Beneficiaries.</t>
  </si>
  <si>
    <t>Directly or indirectly lend or invest in other persons or entities identified in any manner whatsoever by or on behalf of the Funding Party (Ultimate Beneficiaries)</t>
  </si>
  <si>
    <t>Provide any guarantee, security or the like on behalf of the Ultimate Beneficiaries.</t>
  </si>
  <si>
    <t xml:space="preserve">     - Discount Received</t>
  </si>
  <si>
    <t xml:space="preserve"> Vehicle Maintenance</t>
  </si>
  <si>
    <t xml:space="preserve"> General Repairs &amp; Maintenance</t>
  </si>
  <si>
    <t xml:space="preserve"> Contribution to provident &amp; Other funds :-</t>
  </si>
  <si>
    <t xml:space="preserve"> Changes in Other Long-term Liabilities</t>
  </si>
  <si>
    <t xml:space="preserve"> Add: Provision for Income tax</t>
  </si>
  <si>
    <t xml:space="preserve"> Net Profit / (Loss) after tax</t>
  </si>
  <si>
    <t>Number</t>
  </si>
  <si>
    <t>% of Holding</t>
  </si>
  <si>
    <t xml:space="preserve"> Add / (Less) : Profit/ (loss) for the year</t>
  </si>
  <si>
    <t>The Company has defined contribution plan. Contributions are made to provident fund in India for employees at the rate of 12% of basic salary as per regulations. The contributions are made to registered provident fund administrated by the government. Contribution to Employer State Insurance is 3.25% of the wages payable to the employees The obligation of the company is limited to the amount contributed and it has no further contratual nor any constructive obligation. The expenses recognised during the year towards defined contribution plan is as under ;</t>
  </si>
  <si>
    <t>Firm or LLP in which a partner or his Relative is a Member or Director :-</t>
  </si>
  <si>
    <t xml:space="preserve">  b. Deferred Tax Assets (Net)</t>
  </si>
  <si>
    <t xml:space="preserve">  c. Long-Term Loans &amp; Advances</t>
  </si>
  <si>
    <t xml:space="preserve">  d. Other Non-Current Assets</t>
  </si>
  <si>
    <t xml:space="preserve">  a. Inventories</t>
  </si>
  <si>
    <t xml:space="preserve">  b. Trade Receivables</t>
  </si>
  <si>
    <t xml:space="preserve">  c. Cash &amp; Cash Equivalents</t>
  </si>
  <si>
    <t xml:space="preserve">  d. Short-Term Loans &amp; Advances</t>
  </si>
  <si>
    <t xml:space="preserve">  e. Other Current Assets</t>
  </si>
  <si>
    <t xml:space="preserve"> Profit (Loss) for the Period</t>
  </si>
  <si>
    <t>XII.</t>
  </si>
  <si>
    <t xml:space="preserve"> Changes in Long-Term Borrowings</t>
  </si>
  <si>
    <t xml:space="preserve"> Changes in Other Non Current Assets</t>
  </si>
  <si>
    <t>31st March, 2025</t>
  </si>
  <si>
    <t>Reason for change in ratio by more than 25%</t>
  </si>
  <si>
    <t>Average Inventory</t>
  </si>
  <si>
    <t>31st March, 2023</t>
  </si>
  <si>
    <t>Computer &amp; Software</t>
  </si>
  <si>
    <t>Furniture</t>
  </si>
  <si>
    <t>Difference</t>
  </si>
  <si>
    <t>EBITDA</t>
  </si>
  <si>
    <t>NA</t>
  </si>
  <si>
    <t>Inventories</t>
  </si>
  <si>
    <t>The Company has not advanced or loaned or invested funds to any other person(s) or entity(ies), including foreign entities (intermediaries) with the understanding that the intermediary shall :</t>
  </si>
  <si>
    <t>The Company has not received any fund from any person(s) or entity(ies) including foreign entities (Funding Party) with the understanding (whether recorded in writing or otherwise) that the company shall :</t>
  </si>
  <si>
    <t>&lt; 1 year</t>
  </si>
  <si>
    <t>&gt; 3 years</t>
  </si>
  <si>
    <t>PROGEN RENEWABLES LIMITED</t>
  </si>
  <si>
    <t>CIN : U31909TZ2017PLC029803</t>
  </si>
  <si>
    <t xml:space="preserve"> Telephone &amp; Internet Expenses</t>
  </si>
  <si>
    <t>Balance as at 31st March 2025</t>
  </si>
  <si>
    <t>Mr. Alfred Vinod Antony</t>
  </si>
  <si>
    <t>Mrs. Veena Jose</t>
  </si>
  <si>
    <t>Mr. Arvind Jain</t>
  </si>
  <si>
    <t xml:space="preserve"> Balance at the end of the year</t>
  </si>
  <si>
    <t xml:space="preserve"> Securities Premium :-</t>
  </si>
  <si>
    <t xml:space="preserve"> Balance at the Beginning of the year</t>
  </si>
  <si>
    <t xml:space="preserve"> Add: Additions during the year</t>
  </si>
  <si>
    <t xml:space="preserve">     - Remunaration Payable</t>
  </si>
  <si>
    <t xml:space="preserve">     - Un claimed ITC</t>
  </si>
  <si>
    <t xml:space="preserve">    - EB Load Purchases (Refundable)</t>
  </si>
  <si>
    <t xml:space="preserve"> Foreign Exchange Loss</t>
  </si>
  <si>
    <t xml:space="preserve"> Safety Certificate Expenses</t>
  </si>
  <si>
    <t xml:space="preserve"> Labour Contract Charges</t>
  </si>
  <si>
    <t xml:space="preserve"> Opening Balance DTL / (DTA)</t>
  </si>
  <si>
    <t xml:space="preserve"> Add / (Less) : Current year (DTA) / DTL</t>
  </si>
  <si>
    <t xml:space="preserve"> Documentation Charges</t>
  </si>
  <si>
    <t xml:space="preserve"> Security Service Charges</t>
  </si>
  <si>
    <t xml:space="preserve"> Office Electricity Charges</t>
  </si>
  <si>
    <t xml:space="preserve"> Subscription Charges</t>
  </si>
  <si>
    <t xml:space="preserve"> Registration Fees</t>
  </si>
  <si>
    <t xml:space="preserve"> Raw Material Purchase</t>
  </si>
  <si>
    <t xml:space="preserve"> Bad Debts Written Off</t>
  </si>
  <si>
    <t xml:space="preserve"> C. Repairs &amp; Maintenance Expenses ;-</t>
  </si>
  <si>
    <t xml:space="preserve"> D. Selling &amp; Distribution Overhead :-</t>
  </si>
  <si>
    <t xml:space="preserve">       - ICICI Bank OD A/c No : 015905010887</t>
  </si>
  <si>
    <t xml:space="preserve">       - UBI Bank CC A/c No : 508405010080204</t>
  </si>
  <si>
    <t>For the year ended March 31, 2023</t>
  </si>
  <si>
    <t xml:space="preserve">  a. Purchase of Stock</t>
  </si>
  <si>
    <t>As at March 31, 2023</t>
  </si>
  <si>
    <t>As at 31st March, 2023</t>
  </si>
  <si>
    <t>As on 31-March 2023</t>
  </si>
  <si>
    <t>% of Total Shares</t>
  </si>
  <si>
    <t>% of Total shares</t>
  </si>
  <si>
    <t>All figures are showing in Rs. 000's unless otherwise specified</t>
  </si>
  <si>
    <t>Significant Accounting Policies</t>
  </si>
  <si>
    <t>As at 31st March 2023</t>
  </si>
  <si>
    <t>Balance as at 31st March 2023</t>
  </si>
  <si>
    <t xml:space="preserve"> Technical Charges</t>
  </si>
  <si>
    <t xml:space="preserve"> 2. Provision for tax related to earlier year</t>
  </si>
  <si>
    <t xml:space="preserve"> Land</t>
  </si>
  <si>
    <t xml:space="preserve"> Laptop &amp; Computers</t>
  </si>
  <si>
    <t xml:space="preserve"> Vehicle - Two Wheeler</t>
  </si>
  <si>
    <t xml:space="preserve"> Vehicle - Car</t>
  </si>
  <si>
    <t xml:space="preserve"> Electrical Fittings</t>
  </si>
  <si>
    <t xml:space="preserve"> Office Equipments</t>
  </si>
  <si>
    <t xml:space="preserve"> Furniture &amp; Fittings</t>
  </si>
  <si>
    <t xml:space="preserve"> Tools &amp; Equipments</t>
  </si>
  <si>
    <t xml:space="preserve"> Software</t>
  </si>
  <si>
    <t>Add / Less from Retained Earings</t>
  </si>
  <si>
    <t xml:space="preserve"> Own Assets :</t>
  </si>
  <si>
    <t xml:space="preserve"> Plant &amp; Machinery</t>
  </si>
  <si>
    <t xml:space="preserve"> Staff Advance</t>
  </si>
  <si>
    <t xml:space="preserve"> Advance to Related Parties</t>
  </si>
  <si>
    <t>Particulars of Loan and Term &amp; Conditions</t>
  </si>
  <si>
    <r>
      <rPr>
        <b/>
        <sz val="11"/>
        <rFont val="Arial"/>
        <family val="2"/>
      </rPr>
      <t>A. Nature of Loan :</t>
    </r>
    <r>
      <rPr>
        <sz val="11"/>
        <rFont val="Arial"/>
        <family val="2"/>
      </rPr>
      <t xml:space="preserve"> Vehicle Loan - ICICI Bank A/c LACBT00044569222. 
</t>
    </r>
    <r>
      <rPr>
        <b/>
        <sz val="11"/>
        <rFont val="Arial"/>
        <family val="2"/>
      </rPr>
      <t xml:space="preserve">B. Term &amp; Conditions :
</t>
    </r>
    <r>
      <rPr>
        <sz val="11"/>
        <rFont val="Arial"/>
        <family val="2"/>
      </rPr>
      <t xml:space="preserve">A loan of ₹18,00,000 was sanctioned at an </t>
    </r>
    <r>
      <rPr>
        <b/>
        <sz val="11"/>
        <rFont val="Arial"/>
        <family val="2"/>
      </rPr>
      <t>interest rate of 7.5% per annum, repayable in 60 equal monthly installments of ₹36,009 each.</t>
    </r>
    <r>
      <rPr>
        <sz val="11"/>
        <rFont val="Arial"/>
        <family val="2"/>
      </rPr>
      <t xml:space="preserve"> The loan was disbursed on 10th November 2021 and will mature on 10th October 2026.
</t>
    </r>
    <r>
      <rPr>
        <b/>
        <sz val="11"/>
        <rFont val="Arial"/>
        <family val="2"/>
      </rPr>
      <t xml:space="preserve">C. Nature of Security : </t>
    </r>
    <r>
      <rPr>
        <sz val="11"/>
        <rFont val="Arial"/>
        <family val="2"/>
      </rPr>
      <t>Toyota Innova Crysta - Car</t>
    </r>
  </si>
  <si>
    <r>
      <rPr>
        <b/>
        <sz val="11"/>
        <rFont val="Arial"/>
        <family val="2"/>
      </rPr>
      <t>A. Nature of Loan :</t>
    </r>
    <r>
      <rPr>
        <sz val="11"/>
        <rFont val="Arial"/>
        <family val="2"/>
      </rPr>
      <t xml:space="preserve"> Vehicle Loan - ICICI Bank A/c LACBT00050418274. 
</t>
    </r>
    <r>
      <rPr>
        <b/>
        <sz val="11"/>
        <rFont val="Arial"/>
        <family val="2"/>
      </rPr>
      <t>B. Term &amp; Conditions :</t>
    </r>
    <r>
      <rPr>
        <sz val="11"/>
        <rFont val="Arial"/>
        <family val="2"/>
      </rPr>
      <t xml:space="preserve"> 
A loan of ₹ 8,00,000 was sanctioned at an </t>
    </r>
    <r>
      <rPr>
        <b/>
        <sz val="11"/>
        <rFont val="Arial"/>
        <family val="2"/>
      </rPr>
      <t>interest rate of 9.40% per annum, repayable in 60 equal monthly installments of ₹ 16,763 each.</t>
    </r>
    <r>
      <rPr>
        <sz val="11"/>
        <rFont val="Arial"/>
        <family val="2"/>
      </rPr>
      <t xml:space="preserve"> The loan was disbursed on 10th November 2024 and will mature on 10th October 2029. 
</t>
    </r>
    <r>
      <rPr>
        <b/>
        <sz val="11"/>
        <rFont val="Arial"/>
        <family val="2"/>
      </rPr>
      <t xml:space="preserve">C. Nature of Security : </t>
    </r>
    <r>
      <rPr>
        <sz val="11"/>
        <rFont val="Arial"/>
        <family val="2"/>
      </rPr>
      <t>Mahindra XUV3XO AX5 PM MT BS6 2</t>
    </r>
  </si>
  <si>
    <r>
      <rPr>
        <b/>
        <sz val="11"/>
        <rFont val="Arial"/>
        <family val="2"/>
      </rPr>
      <t>A. Nature of Loan :</t>
    </r>
    <r>
      <rPr>
        <sz val="11"/>
        <rFont val="Arial"/>
        <family val="2"/>
      </rPr>
      <t xml:space="preserve"> Vehicle Loan - ICICI Bank A/c LACBT00050283942
</t>
    </r>
    <r>
      <rPr>
        <b/>
        <sz val="11"/>
        <rFont val="Arial"/>
        <family val="2"/>
      </rPr>
      <t>B. Term &amp; Conditions :</t>
    </r>
    <r>
      <rPr>
        <sz val="11"/>
        <rFont val="Arial"/>
        <family val="2"/>
      </rPr>
      <t xml:space="preserve"> 
A loan of ₹ 8,00,000 was sanctioned at an </t>
    </r>
    <r>
      <rPr>
        <b/>
        <sz val="11"/>
        <rFont val="Arial"/>
        <family val="2"/>
      </rPr>
      <t>interest rate of 9.55% per annum, repayable in 60 equal monthly installments of ₹ 16,844 each.</t>
    </r>
    <r>
      <rPr>
        <sz val="11"/>
        <rFont val="Arial"/>
        <family val="2"/>
      </rPr>
      <t xml:space="preserve"> The loan was disbursed on 10th October 2024 and will mature on 10th September 2029. 
</t>
    </r>
    <r>
      <rPr>
        <b/>
        <sz val="11"/>
        <rFont val="Arial"/>
        <family val="2"/>
      </rPr>
      <t xml:space="preserve">C. Nature of Security : </t>
    </r>
    <r>
      <rPr>
        <sz val="11"/>
        <rFont val="Arial"/>
        <family val="2"/>
      </rPr>
      <t>Maruti Ertiga Smart Hybris VXI 1.5L 5MT-ERR4HV1</t>
    </r>
  </si>
  <si>
    <r>
      <rPr>
        <b/>
        <sz val="11"/>
        <rFont val="Arial"/>
        <family val="2"/>
      </rPr>
      <t>A. Nature of Loan :</t>
    </r>
    <r>
      <rPr>
        <sz val="11"/>
        <rFont val="Arial"/>
        <family val="2"/>
      </rPr>
      <t xml:space="preserve"> Vehicle Loan - Induslnd Bank A/c TKG08474C
</t>
    </r>
    <r>
      <rPr>
        <b/>
        <sz val="11"/>
        <rFont val="Arial"/>
        <family val="2"/>
      </rPr>
      <t>B. Term &amp; Conditions :</t>
    </r>
    <r>
      <rPr>
        <sz val="11"/>
        <rFont val="Arial"/>
        <family val="2"/>
      </rPr>
      <t xml:space="preserve"> 
A loan of ₹ 23,08,000 was sanctioned at an </t>
    </r>
    <r>
      <rPr>
        <b/>
        <sz val="11"/>
        <rFont val="Arial"/>
        <family val="2"/>
      </rPr>
      <t>interest rate of 8.50% per annum, repayable in 60 (One Month Moratorium) equal monthly installments of ₹ 47,999 each.</t>
    </r>
    <r>
      <rPr>
        <sz val="11"/>
        <rFont val="Arial"/>
        <family val="2"/>
      </rPr>
      <t xml:space="preserve"> The loan was disbursed on 15th August 2022 and will mature on 15th June 2027. 
</t>
    </r>
    <r>
      <rPr>
        <b/>
        <sz val="11"/>
        <rFont val="Arial"/>
        <family val="2"/>
      </rPr>
      <t xml:space="preserve">C. Nature of Security : </t>
    </r>
    <r>
      <rPr>
        <sz val="11"/>
        <rFont val="Arial"/>
        <family val="2"/>
      </rPr>
      <t>Toyota Innova Crysta 2.4 ZX 7S MT BS VI</t>
    </r>
  </si>
  <si>
    <r>
      <rPr>
        <b/>
        <sz val="11"/>
        <rFont val="Arial"/>
        <family val="2"/>
      </rPr>
      <t>A. Nature of Loan :</t>
    </r>
    <r>
      <rPr>
        <sz val="11"/>
        <rFont val="Arial"/>
        <family val="2"/>
      </rPr>
      <t xml:space="preserve"> Vehicle Loan - Induslnd Bank A/c TKG08474C
</t>
    </r>
    <r>
      <rPr>
        <b/>
        <sz val="11"/>
        <rFont val="Arial"/>
        <family val="2"/>
      </rPr>
      <t xml:space="preserve">B. Term &amp; Conditions : </t>
    </r>
    <r>
      <rPr>
        <sz val="11"/>
        <rFont val="Arial"/>
        <family val="2"/>
      </rPr>
      <t xml:space="preserve">
A loan of ₹ 7,00,000 was sanctioned at an </t>
    </r>
    <r>
      <rPr>
        <b/>
        <sz val="11"/>
        <rFont val="Arial"/>
        <family val="2"/>
      </rPr>
      <t>interest rate of 8.14% per annum, repayable in 60 (One Month Moratorium) equal monthly installments of ₹ 14,400 each.</t>
    </r>
    <r>
      <rPr>
        <sz val="11"/>
        <rFont val="Arial"/>
        <family val="2"/>
      </rPr>
      <t xml:space="preserve"> The loan was disbursed on 07th November 2021 and will mature on 07th September 2026. 
</t>
    </r>
    <r>
      <rPr>
        <b/>
        <sz val="11"/>
        <rFont val="Arial"/>
        <family val="2"/>
      </rPr>
      <t>C. Nature of Security :</t>
    </r>
    <r>
      <rPr>
        <sz val="11"/>
        <rFont val="Arial"/>
        <family val="2"/>
      </rPr>
      <t xml:space="preserve"> Maruti Ertiga Smart Hybrid VXI BS VI</t>
    </r>
  </si>
  <si>
    <t>Nature of Loan &amp; Security Details</t>
  </si>
  <si>
    <t>(Rupees in 000's)</t>
  </si>
  <si>
    <t xml:space="preserve"> Interest on Fixed Deposit</t>
  </si>
  <si>
    <t xml:space="preserve"> Transport Charges</t>
  </si>
  <si>
    <t xml:space="preserve"> Other Admin Expenses</t>
  </si>
  <si>
    <t xml:space="preserve"> Electricity Maintenace</t>
  </si>
  <si>
    <t>Aatithyaa Techno India Private Limited</t>
  </si>
  <si>
    <t>Fronius India Private Limited</t>
  </si>
  <si>
    <t>D.S Electricals</t>
  </si>
  <si>
    <t>Swastik Electrical</t>
  </si>
  <si>
    <t>Suraj Enterprises</t>
  </si>
  <si>
    <t>Pandiyan Hardware</t>
  </si>
  <si>
    <t>Sree Manikka Vinayagar Agencies</t>
  </si>
  <si>
    <t>VRL Logistics Limited</t>
  </si>
  <si>
    <t>Vesat Renewables Private Limited</t>
  </si>
  <si>
    <t>V Cube Industrial Solutions</t>
  </si>
  <si>
    <t>V Chinnapandi _ Karuppusamy Readymade Compound</t>
  </si>
  <si>
    <t>Vaman Automation</t>
  </si>
  <si>
    <t>TV Agencies</t>
  </si>
  <si>
    <t>T.B. Guna Tractor</t>
  </si>
  <si>
    <t>Super Electricals</t>
  </si>
  <si>
    <t>Successs Electrical Engineers</t>
  </si>
  <si>
    <t>S S Traders</t>
  </si>
  <si>
    <t>Sri Venkateswara Industries</t>
  </si>
  <si>
    <t>Sri Selvavinayakar Thunai</t>
  </si>
  <si>
    <t>Sri Parameshwari Traders</t>
  </si>
  <si>
    <t>Sri Iyappa Crane Service_Indhumathi Prakash</t>
  </si>
  <si>
    <t>Sri Harish Earth Movers</t>
  </si>
  <si>
    <t>Sri Bhavani Traders</t>
  </si>
  <si>
    <t>Sree Shanmuga Traders</t>
  </si>
  <si>
    <t>Solex Energy Limited</t>
  </si>
  <si>
    <t>Solar Solutions</t>
  </si>
  <si>
    <t>Solar Mounting System Solutions</t>
  </si>
  <si>
    <t>SKNA Engineering</t>
  </si>
  <si>
    <t>Shyam Saran And Associates</t>
  </si>
  <si>
    <t>Shri Siva Sakthi Engineers</t>
  </si>
  <si>
    <t>Shree Shara Steels And Alloys</t>
  </si>
  <si>
    <t>Shree Lakshmi Crane Service</t>
  </si>
  <si>
    <t>Shree Industrial Suppliers</t>
  </si>
  <si>
    <t>Seyone Creation</t>
  </si>
  <si>
    <t>Sathish Electricals - Amul K</t>
  </si>
  <si>
    <t>Sanjeev Fashion</t>
  </si>
  <si>
    <t>Sami Power Solution</t>
  </si>
  <si>
    <t>Ryhan Business Corp</t>
  </si>
  <si>
    <t>RSB Tractor Service _ Bala Murugan</t>
  </si>
  <si>
    <t>R.C.R Earh Movers _Veepur Manikandan</t>
  </si>
  <si>
    <t>Rayaansh Solar</t>
  </si>
  <si>
    <t>Ranis Grand</t>
  </si>
  <si>
    <t>Raj Manpower Solutions</t>
  </si>
  <si>
    <t>Progen Energy Solutions</t>
  </si>
  <si>
    <t>Pranavu Earth Movers_Suguna</t>
  </si>
  <si>
    <t>Pranav Bore Well &amp; Earth Movers_Vijaylakshmi</t>
  </si>
  <si>
    <t>Newenergie Renewables Private Limited</t>
  </si>
  <si>
    <t>Nelco Electricals</t>
  </si>
  <si>
    <t>Meru Electricals</t>
  </si>
  <si>
    <t>Mayila Sree Earth Movers _ Suresh</t>
  </si>
  <si>
    <t>Matrix Elecricals</t>
  </si>
  <si>
    <t>Mas Solar Systems Private Limited</t>
  </si>
  <si>
    <t>Maheswari Agenciese</t>
  </si>
  <si>
    <t>K.K Enterprises</t>
  </si>
  <si>
    <t>JMN Engineering Enterprises</t>
  </si>
  <si>
    <t>Jaypee Safety Systems Private Limited</t>
  </si>
  <si>
    <t>I.P.L.Products</t>
  </si>
  <si>
    <t>Indiq Solutions</t>
  </si>
  <si>
    <t>Heal And Safe Solutions</t>
  </si>
  <si>
    <t>Goldi Solar Private Limited</t>
  </si>
  <si>
    <t>Focusun Energy Systems</t>
  </si>
  <si>
    <t>Firstcall Automation Private Limited</t>
  </si>
  <si>
    <t>Faithful Security Services</t>
  </si>
  <si>
    <t>Excel Earthings</t>
  </si>
  <si>
    <t>Eswari Fly Ash Bricks_ Saravanakumar</t>
  </si>
  <si>
    <t>ESV Connect - Puducherry</t>
  </si>
  <si>
    <t>ESV Connect International</t>
  </si>
  <si>
    <t>ESV Connect</t>
  </si>
  <si>
    <t>EPT Enterprises</t>
  </si>
  <si>
    <t>Embark Corpserv</t>
  </si>
  <si>
    <t>Ebinezar Consultancy</t>
  </si>
  <si>
    <t>DKD Engineers Private Limited</t>
  </si>
  <si>
    <t>Dharshini Associates</t>
  </si>
  <si>
    <t>Devi Crane Service</t>
  </si>
  <si>
    <t>Confident Automation</t>
  </si>
  <si>
    <t>Cail Holdings</t>
  </si>
  <si>
    <t>Bright Electricals</t>
  </si>
  <si>
    <t>Birdscale Technology And Services Private Limited</t>
  </si>
  <si>
    <t>Benaka Cargo Movers</t>
  </si>
  <si>
    <t>Aswatha Energy Solutions</t>
  </si>
  <si>
    <t>Annam Associates</t>
  </si>
  <si>
    <t>A M Vinoth Earth Movers_Gowtham</t>
  </si>
  <si>
    <t>Amptech Power Transformers</t>
  </si>
  <si>
    <t>Akshaya Technologies</t>
  </si>
  <si>
    <t>AK Energies</t>
  </si>
  <si>
    <t>Air India Limited - Maharashtra</t>
  </si>
  <si>
    <t>4K Infra Solutions</t>
  </si>
  <si>
    <t>Erin Systems</t>
  </si>
  <si>
    <t>Name of the Parties</t>
  </si>
  <si>
    <t>Solstrome Energy Solutions Private Limited</t>
  </si>
  <si>
    <t>Aathavan Construction</t>
  </si>
  <si>
    <t>Alu - Tech Engineering</t>
  </si>
  <si>
    <t>Ananta Renewables</t>
  </si>
  <si>
    <t>Arrow Marketing</t>
  </si>
  <si>
    <t>Ashirvad Green Energy Private Limited</t>
  </si>
  <si>
    <t>Atria Convergence Technologies Limited</t>
  </si>
  <si>
    <t>Ekadrisht Capital Private Limited</t>
  </si>
  <si>
    <t>Emmvee Photovoltaic Power Private Limited</t>
  </si>
  <si>
    <t>Energy Tec</t>
  </si>
  <si>
    <t>Evergreen Enterprises</t>
  </si>
  <si>
    <t>Fimer India Private Limited</t>
  </si>
  <si>
    <t>Future Green Enterprises</t>
  </si>
  <si>
    <t>Gemini Electric Corporation</t>
  </si>
  <si>
    <t>Goldi Sun Private Limited</t>
  </si>
  <si>
    <t>Hari Basker R</t>
  </si>
  <si>
    <t>Iconic Power</t>
  </si>
  <si>
    <t>Jeevan Raj_Dot Media</t>
  </si>
  <si>
    <t>Manmal Mahendra Electrical</t>
  </si>
  <si>
    <t>Sudhan Graphics</t>
  </si>
  <si>
    <t>Talk Truth Automation Solutions</t>
  </si>
  <si>
    <t>Vikas Electricals</t>
  </si>
  <si>
    <t>Vrindaban Wire Industries</t>
  </si>
  <si>
    <t>Xcodefix Private Limited</t>
  </si>
  <si>
    <t>Mr. P. Poopathi (Ht)</t>
  </si>
  <si>
    <t>Mr. R. Radhakrishnan ( Saravanan )</t>
  </si>
  <si>
    <t>Mr. S. Sarath Babu ( Chandru )</t>
  </si>
  <si>
    <t>My Power Solutions</t>
  </si>
  <si>
    <t>National Securities Depository Limited</t>
  </si>
  <si>
    <t>Paramasivam</t>
  </si>
  <si>
    <t>Parswanatha Technology Private Limited</t>
  </si>
  <si>
    <t>Rays Grid Technologies</t>
  </si>
  <si>
    <t>Rr Green Energy Solution</t>
  </si>
  <si>
    <t>R.Sudhakar_Civil</t>
  </si>
  <si>
    <t>Rubini B</t>
  </si>
  <si>
    <t>Saaral Construction</t>
  </si>
  <si>
    <t>Sai Global</t>
  </si>
  <si>
    <t>Sepedc Tangedco</t>
  </si>
  <si>
    <t>Shree Sakthie Electrical &amp; Engineering</t>
  </si>
  <si>
    <t>Shree S.M. Enterprises</t>
  </si>
  <si>
    <t>S Kannan Electricals</t>
  </si>
  <si>
    <t>S. Prabhu</t>
  </si>
  <si>
    <t>Sree Palani Murugan Traders</t>
  </si>
  <si>
    <t>Sri Tiruppathi Flyash Bricks</t>
  </si>
  <si>
    <t>Meru Industrial Suppliers</t>
  </si>
  <si>
    <t>Metro Infrastructures</t>
  </si>
  <si>
    <t>Aarathya S_ FD</t>
  </si>
  <si>
    <t>AD Dot</t>
  </si>
  <si>
    <t>Ayush Jhunjhunwala_IPO</t>
  </si>
  <si>
    <t>Blue Bright Energy LLP</t>
  </si>
  <si>
    <t>Diya Pandi S_ FD</t>
  </si>
  <si>
    <t>DLS &amp; Associates LLP</t>
  </si>
  <si>
    <t>KNK Steels</t>
  </si>
  <si>
    <t>JS Wire System</t>
  </si>
  <si>
    <t>Saravanakumar SB</t>
  </si>
  <si>
    <t>VV Electrical Solutions</t>
  </si>
  <si>
    <t>Angalakshmi Spinning Mill</t>
  </si>
  <si>
    <t>Angammal Spinners</t>
  </si>
  <si>
    <t>Annamalaiyar Spinners</t>
  </si>
  <si>
    <t>Best Fabrics</t>
  </si>
  <si>
    <t>Dhakshan Textiles Private Limited</t>
  </si>
  <si>
    <t>Dharan Hospital</t>
  </si>
  <si>
    <t>Enkay Textile</t>
  </si>
  <si>
    <t>Igen Solars</t>
  </si>
  <si>
    <t>Jaya Janani Textile Mills</t>
  </si>
  <si>
    <t>Jrr Green Energy Private Limited</t>
  </si>
  <si>
    <t>K K P Fabrics Private Limited</t>
  </si>
  <si>
    <t>Krishnapoultry Tex Mill India Private Limited</t>
  </si>
  <si>
    <t>Nexray Energies Private Limited</t>
  </si>
  <si>
    <t>Nilan Aruvi Green Energy</t>
  </si>
  <si>
    <t>Pallava Textiles Private Limited</t>
  </si>
  <si>
    <t>Plumeria Contracting Services</t>
  </si>
  <si>
    <t>Ponnsankar Building Materials Suppliers</t>
  </si>
  <si>
    <t>Prakash Ecotex Private Limited</t>
  </si>
  <si>
    <t>Senkarvel Renewables Private Limited</t>
  </si>
  <si>
    <t>Sheemat Fabricaters</t>
  </si>
  <si>
    <t>Shri Sakthivel Impex Private Limited</t>
  </si>
  <si>
    <t>Sree Katteri Textiles Private Limited</t>
  </si>
  <si>
    <t>Sree Venkateswara Paper Tubes</t>
  </si>
  <si>
    <t>Sri Devi Sizing Mills</t>
  </si>
  <si>
    <t>Sri Govindarajulu Energyy Private Limited</t>
  </si>
  <si>
    <t>Sri Jai Venkateshwara Boards</t>
  </si>
  <si>
    <t>Sri Mahalakshmi Renewables Private Limited</t>
  </si>
  <si>
    <t>Sri Sabari Traders</t>
  </si>
  <si>
    <t>S.S.Spinner</t>
  </si>
  <si>
    <t>The Principal -  Christ</t>
  </si>
  <si>
    <t>V Tech Green Energy Private Limited</t>
  </si>
  <si>
    <t>Vishmayaa  Energy Private Limited</t>
  </si>
  <si>
    <t>Swaminathan</t>
  </si>
  <si>
    <t>Sree Venkateswar Paper Conversion</t>
  </si>
  <si>
    <t>Santhosh Spinning Mills. Props.Santhosh Enterprises</t>
  </si>
  <si>
    <t>Sacred Heart Mission Hospital</t>
  </si>
  <si>
    <t>Dinesh Textiles</t>
  </si>
  <si>
    <t>Arunaagold Tex Corporate Private Limited</t>
  </si>
  <si>
    <t>Adhilakshmi Spinning Mills Private Limited</t>
  </si>
  <si>
    <t>Propel Industries Private Limited</t>
  </si>
  <si>
    <t>Shivanjali  Green Energy Private Limited</t>
  </si>
  <si>
    <t>Sunland Green Energy Private Limited</t>
  </si>
  <si>
    <t>Christ Vidhyanikethan School</t>
  </si>
  <si>
    <t>Dev Nature Power Private Limited</t>
  </si>
  <si>
    <t>K.K.P.Weaving And Processing Mills Private Limited</t>
  </si>
  <si>
    <t>Mother Superior</t>
  </si>
  <si>
    <t>Prakash Cotex India</t>
  </si>
  <si>
    <t>Shakthi Murugan Textiles</t>
  </si>
  <si>
    <t>Vijaypandiyan Textiles Private Ltd</t>
  </si>
  <si>
    <t>M Muthukumar_JCB</t>
  </si>
  <si>
    <t>Raptor Technologies India Private Limited</t>
  </si>
  <si>
    <t>Janvi Logistics India Private Limited</t>
  </si>
  <si>
    <t>S &amp; A Energies_CBE</t>
  </si>
  <si>
    <t>Swelect Energy Systems Limited - Salem</t>
  </si>
  <si>
    <t>TMS, Asr Sivasakthi Earth Movers</t>
  </si>
  <si>
    <t>Sri Murugan Wires &amp; Cables Private Limited</t>
  </si>
  <si>
    <t>ABV And Company</t>
  </si>
  <si>
    <t>Aittar K _50MW Land</t>
  </si>
  <si>
    <t>Annamalai Pattani_ 50MW Kanjanur Land</t>
  </si>
  <si>
    <t>Aruldoss_50MW Land</t>
  </si>
  <si>
    <t>Arunadevi S_15MW Pottapalayam Land</t>
  </si>
  <si>
    <t>Balasankar_50MW Kanjanur Land</t>
  </si>
  <si>
    <t>Bharathi M_50MW Land</t>
  </si>
  <si>
    <t>CM Green Power Technologies</t>
  </si>
  <si>
    <t>C Mugilan_50MW Land</t>
  </si>
  <si>
    <t>Kumar Agencies_RMC Bricks</t>
  </si>
  <si>
    <t>LAPP India Private Limited</t>
  </si>
  <si>
    <t>L Chandrasekar_50MW Land</t>
  </si>
  <si>
    <t>VSM Weavess India Private Limited</t>
  </si>
  <si>
    <t>VL Appliance India Private Limited</t>
  </si>
  <si>
    <t>K.K.P Spinning Mills Private Limited</t>
  </si>
  <si>
    <t>Katya Lifestyle Enterprises LLP</t>
  </si>
  <si>
    <t>GT Process</t>
  </si>
  <si>
    <t>Arunachala Spinning Mills India Private Limited</t>
  </si>
  <si>
    <t>Thamara Green Powers Private Limited</t>
  </si>
  <si>
    <t>KKP Wind Farms Private Limited</t>
  </si>
  <si>
    <t xml:space="preserve">Bhuvaneswari </t>
  </si>
  <si>
    <t>Jothi B Sen</t>
  </si>
  <si>
    <t>Cikit Electricals &amp; Technologies India Private Limited</t>
  </si>
  <si>
    <t>Sunchaser Structures Private Limited</t>
  </si>
  <si>
    <t>Viridis Engineering India Private Limited</t>
  </si>
  <si>
    <t>Strumento Technologies India Private Limited</t>
  </si>
  <si>
    <t>Energy Man Power Technologies India Private Limited</t>
  </si>
  <si>
    <t>Kannan_50MW Kanjanur Land</t>
  </si>
  <si>
    <t>Karthikeyan_75MW Land</t>
  </si>
  <si>
    <t>Kaushik Kumar Sarawgi_15MW</t>
  </si>
  <si>
    <t>Iyyappadurai_50MW Kanjanur Land</t>
  </si>
  <si>
    <t>Jeyaveera _ 15MW Vadipatti</t>
  </si>
  <si>
    <t>Mangala Lakshmi_75MW Land</t>
  </si>
  <si>
    <t>Sumethira_50MW Land</t>
  </si>
  <si>
    <t>Therasa_15MW Land</t>
  </si>
  <si>
    <t>Thirugnanam _50MW Land</t>
  </si>
  <si>
    <t>Vashi Integrated Solution Limited</t>
  </si>
  <si>
    <t>Vashi Integrated Solution Limited_Maharashtra</t>
  </si>
  <si>
    <t>Munusamy_75MW Poothamedu</t>
  </si>
  <si>
    <t>Nitin Wirenetting India Private Limited</t>
  </si>
  <si>
    <t>Nilans Infra_15MW Vadipatti</t>
  </si>
  <si>
    <t>Rashtra Deepika Limited</t>
  </si>
  <si>
    <t>Ranjith Kumar_50MW Land</t>
  </si>
  <si>
    <t>Ramadoss_50MW Land</t>
  </si>
  <si>
    <t>Rajasekaran_50MW Land</t>
  </si>
  <si>
    <t>Ragul_15MW Land</t>
  </si>
  <si>
    <t>R Thirumalaisamy 15MW</t>
  </si>
  <si>
    <t>Sivakumar_15MW Land Pottapalayam</t>
  </si>
  <si>
    <t>S Kamraj_50MW Land</t>
  </si>
  <si>
    <t>Sri Mahalakshmi Construction_15MW Vadipatti</t>
  </si>
  <si>
    <t>S Sampath Kumar_50MW Land</t>
  </si>
  <si>
    <t>Annamalaiyar Mills Private Limited</t>
  </si>
  <si>
    <t>Annamalaiyar Spinners Private Limited</t>
  </si>
  <si>
    <t>Athiyan Global Textiles Private Limited</t>
  </si>
  <si>
    <t>Euphoria Green Technologies - Chennai</t>
  </si>
  <si>
    <t>Euphoria Green Technologies - Odisa</t>
  </si>
  <si>
    <t>Mr. Antonio Ferdinand Nayagam_3KW</t>
  </si>
  <si>
    <t>Mr. Selvaraj _5KW</t>
  </si>
  <si>
    <t>Progen Energy Solutions - Kerala</t>
  </si>
  <si>
    <t>PSK Textiles India Private Limited</t>
  </si>
  <si>
    <t>Ramesh Iron &amp; Steel Company India Private Limited</t>
  </si>
  <si>
    <t>Soura Natural Energy Solutions India Private Limited</t>
  </si>
  <si>
    <t>Sri Maruthamalai Andavar Wind Energy Private Limited</t>
  </si>
  <si>
    <t>The Principal - Snehodaya</t>
  </si>
  <si>
    <t>V.Thangavel And Sons Private Limited</t>
  </si>
  <si>
    <t>Shivanjali Green Energy Private Limited</t>
  </si>
  <si>
    <t>Vishmayaa Energy Private Limited</t>
  </si>
  <si>
    <t>Periyanayakki Textile Mills</t>
  </si>
  <si>
    <t>Sree KNM Spinning Mills Private Limited</t>
  </si>
  <si>
    <t>KNM Mills Private Limited</t>
  </si>
  <si>
    <t>KNM Santhosh Mills And Green Energy Private Limited</t>
  </si>
  <si>
    <t>Arunaagold Green Energy Private Limited</t>
  </si>
  <si>
    <t>a. PF Admin Charges</t>
  </si>
  <si>
    <t>b. PF Interest &amp; Damage</t>
  </si>
  <si>
    <t>Licences, Rates &amp; Taxes</t>
  </si>
  <si>
    <t>c. Demand as per GST Portal</t>
  </si>
  <si>
    <t>d. Gov Fees for Reimbursement</t>
  </si>
  <si>
    <t>e. GST Late Filing Fees</t>
  </si>
  <si>
    <t>f. GST Panalty</t>
  </si>
  <si>
    <t>g. Road Tax</t>
  </si>
  <si>
    <t>h. ROC Gov Fees</t>
  </si>
  <si>
    <t>i. Tax Panalty</t>
  </si>
  <si>
    <t xml:space="preserve"> CSR Expenses</t>
  </si>
  <si>
    <t>j. Licence &amp; Duties</t>
  </si>
  <si>
    <t xml:space="preserve"> Loans from Related Party - Un Secured </t>
  </si>
  <si>
    <t xml:space="preserve"> Loans from Others - Un Secured </t>
  </si>
  <si>
    <t>Average Inventories</t>
  </si>
  <si>
    <t xml:space="preserve"> Office Rent Paid</t>
  </si>
  <si>
    <t xml:space="preserve"> Fuel Expenses</t>
  </si>
  <si>
    <t xml:space="preserve"> Staff Welfare Expenses</t>
  </si>
  <si>
    <t xml:space="preserve"> Stores &amp; Consumable</t>
  </si>
  <si>
    <t xml:space="preserve"> Commission Income</t>
  </si>
  <si>
    <t xml:space="preserve">     - Insurance Refund</t>
  </si>
  <si>
    <t xml:space="preserve">      - Domestic Purchase</t>
  </si>
  <si>
    <t xml:space="preserve">      - Import Purchase</t>
  </si>
  <si>
    <t xml:space="preserve"> Interest Accrued on FD</t>
  </si>
  <si>
    <t xml:space="preserve">    - Salary Advances</t>
  </si>
  <si>
    <t>Agathyam Exports</t>
  </si>
  <si>
    <t>Annur Sriambal Fabrics Private Limited</t>
  </si>
  <si>
    <t>Krishnakumar Ramasamy</t>
  </si>
  <si>
    <t>Landscapes Housing Tirupur LLP</t>
  </si>
  <si>
    <t>Manickam K</t>
  </si>
  <si>
    <t xml:space="preserve">    - Raw Materials</t>
  </si>
  <si>
    <t>k. Professional Tax</t>
  </si>
  <si>
    <t>Kaashvi Fab Tech</t>
  </si>
  <si>
    <t>Rayaansh Arts &amp; Jewels</t>
  </si>
  <si>
    <t>Cyneric Technologies</t>
  </si>
  <si>
    <t>Rayanesh Solar</t>
  </si>
  <si>
    <t xml:space="preserve"> In India</t>
  </si>
  <si>
    <t>Total Revenue from Operations</t>
  </si>
  <si>
    <t xml:space="preserve"> Other Non-operating Income</t>
  </si>
  <si>
    <t xml:space="preserve">    - Electricity Charges</t>
  </si>
  <si>
    <t>87 A, First Floor, Sathy Road, Muniappan Koil Street, Ganapathy, Coimbatore,Tamil Nadu - 641 006.</t>
  </si>
  <si>
    <t>Alfred Vinod Antony</t>
  </si>
  <si>
    <t>Veena Jose</t>
  </si>
  <si>
    <t>Managing Director</t>
  </si>
  <si>
    <t>Arvind Jain</t>
  </si>
  <si>
    <t>Whole-time Director</t>
  </si>
  <si>
    <t>Company Secretary</t>
  </si>
  <si>
    <t>Migael Anitha Christina</t>
  </si>
  <si>
    <t>DIN No: 02776734</t>
  </si>
  <si>
    <t>DIN No: 08017313</t>
  </si>
  <si>
    <t>DIN No: 07218435</t>
  </si>
  <si>
    <t xml:space="preserve">     - Mr. Alfred Vinod Antony - Managing Director</t>
  </si>
  <si>
    <t xml:space="preserve">     - Mr. Arvind Jain - Whole time Director</t>
  </si>
  <si>
    <t xml:space="preserve">     - Mrs. Migael Anitha Christina - Company Secretary</t>
  </si>
  <si>
    <t xml:space="preserve">    - M/s. Krynn Jewels and Diamonds LLP</t>
  </si>
  <si>
    <t xml:space="preserve">    - M/s. Ashirvad Green Energy Private Limited</t>
  </si>
  <si>
    <t xml:space="preserve">    - M/s. Udhayalakshmi Properties Limited</t>
  </si>
  <si>
    <t xml:space="preserve">    - M/s. Maanvi Solar Private Limited</t>
  </si>
  <si>
    <t>(a) Estimated amount of contracts remaining to be executed on capital account and not provided for;</t>
  </si>
  <si>
    <t>(b) Other Commitments;</t>
  </si>
  <si>
    <t>Intangible assets are amortized on straight line basis over the estimated useful life which is the period of three years</t>
  </si>
  <si>
    <t>Inventories are valued as per Cost or Net realisable value whichever is lower.</t>
  </si>
  <si>
    <t>Cash flows are reported using the indirect method, whereby profit / (loss) before tax is adjusted for the effects of transactions of non-cash nature and any deferrals or accruals of past or future cash receipts or payments. The cash flows from operating, investing and financing activities of the Company are segregated based on the available information.</t>
  </si>
  <si>
    <t xml:space="preserve"> Proceeds from Issue of Share Capital</t>
  </si>
  <si>
    <t>The Company's financial statements are presented in Indian Rupees, which is also its functional currency and all values are rounded to nearest thousands, except when otherwise indicated.</t>
  </si>
  <si>
    <t>Particulars of CSR Activities</t>
  </si>
  <si>
    <t>CSR Activities for the year 2024-25</t>
  </si>
  <si>
    <t>Cost of an item of PPE includes Purchase cost and any cost directly attributable to bringing the assets to the “location and condition” necessary for it to be capable of operating in the manner intended by management. The Gain or Loss arising on disposal of an assets is determined as the difference between the sale of goods and the carrying amount of the asset and is recognised in the statement of profit and loss.</t>
  </si>
  <si>
    <t>Figures have been rounded off to the nearest thousands unless otherwise stated.</t>
  </si>
  <si>
    <t>Note: 1 Share Capital</t>
  </si>
  <si>
    <t>Note: 1.1 Term / Rights attached to equity shares</t>
  </si>
  <si>
    <t>Note: 1.2 Reconciliation of equity shares outstanding at the beginning and at the end of the year:</t>
  </si>
  <si>
    <t>Note: 1.3 Details of Shareholders holding more than 5% of the Equity Share Capital of the Company:</t>
  </si>
  <si>
    <t>Note: 1.4 Details of Promoter Shareholding :-</t>
  </si>
  <si>
    <t>Note: 2 Reserve &amp; Serplus</t>
  </si>
  <si>
    <t>Note: 3 Long-term Borrowing</t>
  </si>
  <si>
    <t>Note : 3.1 Details of Long term Borrowings</t>
  </si>
  <si>
    <t>Note: 4 Deferred tax Liabilities (Net)</t>
  </si>
  <si>
    <t>Sub Note: 6.2 Details of Sundry Creditors - Non MSME Creditors</t>
  </si>
  <si>
    <t>Sub Note: 7.1 Details of Advance from Customers</t>
  </si>
  <si>
    <t xml:space="preserve"> Balance with banks held as security against the BG</t>
  </si>
  <si>
    <t>Sub Note: 15.1 Details of Advance to Supplier</t>
  </si>
  <si>
    <t>Sub Note : 15.2 Details of Advance to Other Parties</t>
  </si>
  <si>
    <t>Sub Note: 13.2 Details of Sundry Debtors</t>
  </si>
  <si>
    <t>Sub Note: 6.3 Details of Sundry Creditors - MSME Creditors</t>
  </si>
  <si>
    <t xml:space="preserve">    - Remuneration Payable</t>
  </si>
  <si>
    <t xml:space="preserve">    - Outstaning Balance Payable </t>
  </si>
  <si>
    <t xml:space="preserve">   - Remuneration Payable</t>
  </si>
  <si>
    <t xml:space="preserve">   - Outstanding Balance Payable</t>
  </si>
  <si>
    <t xml:space="preserve">    - Outstanding Balance Receivable</t>
  </si>
  <si>
    <t xml:space="preserve">   - Trade Payables</t>
  </si>
  <si>
    <t>Add: Disallowances</t>
  </si>
  <si>
    <t>ii. GST Panalty</t>
  </si>
  <si>
    <t>Less: Allowances</t>
  </si>
  <si>
    <t>i. Depreciation as per IT Act</t>
  </si>
  <si>
    <t>Tax @ 25.168%</t>
  </si>
  <si>
    <t>(i) MSME</t>
  </si>
  <si>
    <t>(iii) Disputed dues - MSME</t>
  </si>
  <si>
    <t xml:space="preserve">     - Mrs. Veena Jose - Director &amp; CFO</t>
  </si>
  <si>
    <t>Note: The above cash flow statement has been prepared under the "Indirect Method" as set out in the Accounting Standard - 3 on Cash Flow Statement specified under Section 133 of the Companies Act, 2013.</t>
  </si>
  <si>
    <t>Director &amp; CFO</t>
  </si>
  <si>
    <t>Profit after tax</t>
  </si>
  <si>
    <t>Total Turnover</t>
  </si>
  <si>
    <t>Total Purchase</t>
  </si>
  <si>
    <t>Net Working Capital</t>
  </si>
  <si>
    <t>Due to increase in equity share capital and total debts</t>
  </si>
  <si>
    <t>Due to increase in trade payables</t>
  </si>
  <si>
    <t>Due to increase in net working capital</t>
  </si>
  <si>
    <t>Due to increase in Trade receivables as compared to revenue from operations</t>
  </si>
  <si>
    <t>The identification of suppliers as Micro, Small and Medium Enterprises Covered under the 'MSMED Act, 2006' was done on the basis of the information to the extend provided by the suppliers to the company.</t>
  </si>
  <si>
    <t>Nil</t>
  </si>
  <si>
    <t>Raw Materials</t>
  </si>
  <si>
    <t>Capital goods</t>
  </si>
  <si>
    <t>Components and spare parts</t>
  </si>
  <si>
    <t>Foreign Currency</t>
  </si>
  <si>
    <t>Equivalent Indian Currency</t>
  </si>
  <si>
    <t>Exports of goods calcuated on F.O.B basis</t>
  </si>
  <si>
    <t>Royalty, Know-how, Professional and Consultation fees</t>
  </si>
  <si>
    <t>Interest and Dividents</t>
  </si>
  <si>
    <t>Other income (indicating the nature thereof)</t>
  </si>
  <si>
    <t xml:space="preserve">Total value of all imported raw materials, spare parts and components and the total value of all indigenous raw materials, spare parts and components consumed during the financial year </t>
  </si>
  <si>
    <t>Total Consumption</t>
  </si>
  <si>
    <t>Local raw material, spare parts and components</t>
  </si>
  <si>
    <t>Imported raw materials, spare parts and components</t>
  </si>
  <si>
    <t>Percentage to total consumption</t>
  </si>
  <si>
    <t xml:space="preserve">    - Progen Energy Solutions</t>
  </si>
  <si>
    <t xml:space="preserve">    - Rayaansh Arts and Jewels</t>
  </si>
  <si>
    <t>Enterprises in which a KMP or his Relative have significant influence :-</t>
  </si>
  <si>
    <t xml:space="preserve">    - Rayaansh Solar</t>
  </si>
  <si>
    <t xml:space="preserve"> Rayaansh Arts and Jewels</t>
  </si>
  <si>
    <t xml:space="preserve">   - Rent Payable</t>
  </si>
  <si>
    <t xml:space="preserve">   - Mr. Alfred Vinod Antony - Managing Director</t>
  </si>
  <si>
    <t xml:space="preserve">   - Mr. Arvind Jain - Whole time Director</t>
  </si>
  <si>
    <t xml:space="preserve">   - Mrs. Veena Jose - Director &amp; CFO</t>
  </si>
  <si>
    <t xml:space="preserve">   - Rayaansh Arts and Jewels</t>
  </si>
  <si>
    <t xml:space="preserve"> Office Rent</t>
  </si>
  <si>
    <t xml:space="preserve"> Director Remuneration</t>
  </si>
  <si>
    <t xml:space="preserve"> Rayaansh Solar</t>
  </si>
  <si>
    <t xml:space="preserve">    - Outstanding Loan Payable</t>
  </si>
  <si>
    <t xml:space="preserve"> Loan from Related Parties</t>
  </si>
  <si>
    <t xml:space="preserve"> Loan Repaid to Related Parties</t>
  </si>
  <si>
    <t>Other revenue from services is recognised as income as and when services are rendered and when no significant uncertainty as to the collectability exists.</t>
  </si>
  <si>
    <t>The company is in the business of engineering, procurement, and construction (EPC) of power projects, as well as operation and maintenace services. The company currently has multiple solar power projects located at various locations with a combined installed and commissioned capacity of more than 15 - 20 MW as at 31st March 2025.</t>
  </si>
  <si>
    <t>Actual results may differ from these estimates. Estimates and underlying assumptions are reviewed at each balance sheet date, Revisions to accounting estimates are recognised in the period in which the estimate is revised and future periods.</t>
  </si>
  <si>
    <t>Assets acquired on Lease where a significant portion of the risks and rewards of ownership are retained by the lessor are classified as operating lease and the lease Rentals thereon are charged to statement of profit and loss.</t>
  </si>
  <si>
    <r>
      <rPr>
        <b/>
        <sz val="11"/>
        <rFont val="Arial"/>
        <family val="2"/>
      </rPr>
      <t>A. Nature of Loan :</t>
    </r>
    <r>
      <rPr>
        <sz val="11"/>
        <rFont val="Arial"/>
        <family val="2"/>
      </rPr>
      <t xml:space="preserve"> UBI Cash Credit (CC) limit is ₹4,85,00,000 with an interest rate of EBLR + 0.05% 
</t>
    </r>
    <r>
      <rPr>
        <b/>
        <sz val="11"/>
        <rFont val="Arial"/>
        <family val="2"/>
      </rPr>
      <t xml:space="preserve">B. Nature of Security :-
</t>
    </r>
    <r>
      <rPr>
        <sz val="11"/>
        <rFont val="Arial"/>
        <family val="2"/>
      </rPr>
      <t xml:space="preserve">    I. Primary Security : Hypothecation of Stock and Book debts up to 90 days.
    II. Collateral Security : Fixed Deposit with Union Bank, in the name of M/s. Progen renewables Limited
</t>
    </r>
    <r>
      <rPr>
        <b/>
        <sz val="11"/>
        <rFont val="Arial"/>
        <family val="2"/>
      </rPr>
      <t xml:space="preserve">C. Name of the Gurantors :
    </t>
    </r>
    <r>
      <rPr>
        <sz val="11"/>
        <rFont val="Arial"/>
        <family val="2"/>
      </rPr>
      <t xml:space="preserve">a. Mr Arvind Jain
    b. Mr. Alfred Vinod Antony
    c. Veena Jose </t>
    </r>
  </si>
  <si>
    <t>iii. Demand Notice as per GST Portal - Late Fees</t>
  </si>
  <si>
    <t>v. Depreciation as per Book</t>
  </si>
  <si>
    <t>vii. Disallowance 36(i)(va)</t>
  </si>
  <si>
    <t>viii. Disallowance 43B(h)</t>
  </si>
  <si>
    <t>viii. Donation U/s 37</t>
  </si>
  <si>
    <t>iv. GST Late Filing Fees U/s 37</t>
  </si>
  <si>
    <t>vi. CSR Expenses U/s 37</t>
  </si>
  <si>
    <t>The Company, in its contract with customers, promises to install Solar Power Plant, which may be rendered in the form of engineering, procurement, and construction ("EPC") services through design-build contracts, and other forms of contracts. The recognition of revenue is based on contractual terms, which could be based on completion of the contract and linked payment schedule. At each reporting date, revenue is recognised based on the terms of the contract against work performed.</t>
  </si>
  <si>
    <t>Profit as per P&amp;L A/c - Accounting Profit</t>
  </si>
  <si>
    <t>Taxable Profit</t>
  </si>
  <si>
    <r>
      <rPr>
        <b/>
        <sz val="11.5"/>
        <rFont val="Arial"/>
        <family val="2"/>
      </rPr>
      <t>a. Current tax:</t>
    </r>
    <r>
      <rPr>
        <sz val="11.5"/>
        <rFont val="Arial"/>
        <family val="2"/>
      </rPr>
      <t xml:space="preserve"> Current tax is the amount of tax payable on the taxable income for the year as determined in accordance with the provisions of the Income Tax Act, 1961. Current tax is net of credit for entitlement for Minimum Alternative Tax (MAT).</t>
    </r>
  </si>
  <si>
    <r>
      <rPr>
        <b/>
        <sz val="11.5"/>
        <rFont val="Arial"/>
        <family val="2"/>
      </rPr>
      <t>b. Minimum Alternate Tax (MAT):</t>
    </r>
    <r>
      <rPr>
        <sz val="11.5"/>
        <rFont val="Arial"/>
        <family val="2"/>
      </rPr>
      <t xml:space="preserve"> The company has shifted to new regime of taxation mentioned under section 115BAA. Under section 115 BAA tax rate is 22% plus surcharge and education cess. MAT Provisions are not applicable if tax is charged at rate mentioned in section 115BAA. No MAT Credit of earlier year has been carried forward to current year.</t>
    </r>
  </si>
  <si>
    <r>
      <rPr>
        <b/>
        <sz val="11.5"/>
        <rFont val="Arial"/>
        <family val="2"/>
      </rPr>
      <t>c. Deferred tax:</t>
    </r>
    <r>
      <rPr>
        <sz val="11.5"/>
        <rFont val="Arial"/>
        <family val="2"/>
      </rPr>
      <t xml:space="preserve"> Deferred tax is recognised, on timing differences, being the differences between the taxable income and the accounting income that originate in one period and are capable of reversal in one or more subsequent periods.</t>
    </r>
  </si>
  <si>
    <t>Defined Benefit Plan:</t>
  </si>
  <si>
    <t>c)     Exchange differences arise on the settlement of monetary items are recognized as a income or as expenses in the statement of profit and loss in the year in which they arise.</t>
  </si>
  <si>
    <t>b. Foreign currency transactions are recorded in the reporting currency, by applying to the foreign currency amount the exchange rate between the reporting currency and foreign currency at the date of transanction.
Foreign currency monetary items are reported using closing rate. Non-monetary items, which are carried in terms of historical cost denominated in a foreign currency, are reported using the exchange rate at the date of transaction.</t>
  </si>
  <si>
    <t>M.No. 30946</t>
  </si>
  <si>
    <t xml:space="preserve">    - Arun Rosario</t>
  </si>
  <si>
    <t xml:space="preserve"> Other Loans and Advances :-</t>
  </si>
  <si>
    <t>Guarantees</t>
  </si>
  <si>
    <t>Other Admin Charges</t>
  </si>
  <si>
    <t>a. Donation</t>
  </si>
  <si>
    <t>b. DSC Application Fees</t>
  </si>
  <si>
    <t>c. Grass Cutting Charges</t>
  </si>
  <si>
    <t>d. Pooja Expenses</t>
  </si>
  <si>
    <t>e. Office Expenses</t>
  </si>
  <si>
    <t>f. Other Charges</t>
  </si>
  <si>
    <t>g. Miscellaneous Expenses</t>
  </si>
  <si>
    <t>Lakshmi Enterprises</t>
  </si>
  <si>
    <t>h. Lap Calibration Charges</t>
  </si>
  <si>
    <t xml:space="preserve">     - Input Tax Credit</t>
  </si>
  <si>
    <t xml:space="preserve">    - Rent Advance</t>
  </si>
  <si>
    <t>Less: Opening Balance DTL / (DTA)</t>
  </si>
  <si>
    <t>32.2. Computation of Current tax Expenses &amp; Tax Expenses to be debited to the Statement of Profit &amp; Loss Account : -</t>
  </si>
  <si>
    <t xml:space="preserve">   - Rayaansh Solar</t>
  </si>
  <si>
    <t xml:space="preserve">   - Loan Outstanding Balance</t>
  </si>
  <si>
    <t xml:space="preserve"> Salary Paid</t>
  </si>
  <si>
    <t xml:space="preserve">   - Mrs. Migael Anitha Christina - CS</t>
  </si>
  <si>
    <t xml:space="preserve"> Mr. Alfred Vinod Antony - Director</t>
  </si>
  <si>
    <t xml:space="preserve"> Mr. Arvind Jain - Director</t>
  </si>
  <si>
    <t xml:space="preserve"> Mrs. Veena Jose - Director &amp; CFO</t>
  </si>
  <si>
    <t xml:space="preserve"> Mrs. Migael Anitha Christina - CS</t>
  </si>
  <si>
    <t xml:space="preserve">   - Salary Payable</t>
  </si>
  <si>
    <t xml:space="preserve">   - Outstanding Balance Receivable</t>
  </si>
  <si>
    <t xml:space="preserve"> Progen Energy Solutions - Kerala</t>
  </si>
  <si>
    <t xml:space="preserve"> Progen Energy Solutions - CBE</t>
  </si>
  <si>
    <t xml:space="preserve">   - Trade Receivable</t>
  </si>
  <si>
    <t>b. Surplus arising out of CSR project or programs or activities of the previous financial year: Nil</t>
  </si>
  <si>
    <t>c. Amount required to be set off the financial year, if any: Nil</t>
  </si>
  <si>
    <t>Due to increase in Current Assets</t>
  </si>
  <si>
    <t>Due to increase in Share holders Equity as compared to Borrowings</t>
  </si>
  <si>
    <t xml:space="preserve">Due to increase in share holders Equity </t>
  </si>
  <si>
    <t>Due to increase in Revenue and decrease in Inventory leval</t>
  </si>
  <si>
    <t>Due to increase in Net Profit</t>
  </si>
  <si>
    <t xml:space="preserve">EBIT </t>
  </si>
  <si>
    <t>Laying of Paver Blocks &amp; Solar Street Lights</t>
  </si>
  <si>
    <t>l. Customs Duty</t>
  </si>
  <si>
    <t xml:space="preserve">     - Customs Duty Payable</t>
  </si>
  <si>
    <t>m. LD Charges</t>
  </si>
  <si>
    <t xml:space="preserve">    - Land</t>
  </si>
  <si>
    <t xml:space="preserve"> Land Development Cost</t>
  </si>
  <si>
    <t xml:space="preserve"> Freight inward Charges</t>
  </si>
  <si>
    <t xml:space="preserve"> Site Erection Charges</t>
  </si>
  <si>
    <t xml:space="preserve"> Discount Allowed</t>
  </si>
  <si>
    <t>n. Custom Duty Interest</t>
  </si>
  <si>
    <t>o. Customs Duty Fine</t>
  </si>
  <si>
    <t>Sumangali'S Green Power Private Limited</t>
  </si>
  <si>
    <t>i. Round off</t>
  </si>
  <si>
    <t>ix. Customs duty fine</t>
  </si>
  <si>
    <t xml:space="preserve">    - Remuneration Advance</t>
  </si>
  <si>
    <t xml:space="preserve">    - Outstanding Balance Payable</t>
  </si>
  <si>
    <t xml:space="preserve"> Vehicle Loans from Bank - Secured</t>
  </si>
  <si>
    <t xml:space="preserve"> Directors Current Account</t>
  </si>
  <si>
    <t xml:space="preserve">    - Office Rent Payable</t>
  </si>
  <si>
    <t xml:space="preserve">     - TDS &amp; TCS Payable</t>
  </si>
  <si>
    <t xml:space="preserve"> Project Land</t>
  </si>
  <si>
    <t xml:space="preserve"> Project Land Sale</t>
  </si>
  <si>
    <t xml:space="preserve"> Project Land Purchase</t>
  </si>
  <si>
    <t>The company has the following contingent liabilities as of the balance sheet date:</t>
  </si>
  <si>
    <t xml:space="preserve"> Pre-deposits of Tax Appeal</t>
  </si>
  <si>
    <t>Private Companies in which a Director or his Relative is a Member or Director :-</t>
  </si>
  <si>
    <t xml:space="preserve"> M/s. Ashirvad Green Energy Pvt Ltd</t>
  </si>
  <si>
    <t xml:space="preserve">(a) </t>
  </si>
  <si>
    <t xml:space="preserve">(b) </t>
  </si>
  <si>
    <t xml:space="preserve">(c) </t>
  </si>
  <si>
    <t>Other money for which the company is contingently liable</t>
  </si>
  <si>
    <t xml:space="preserve"> i. Income Tax (Refer Note)</t>
  </si>
  <si>
    <t>Claims against the company not acknowledged as debt :</t>
  </si>
  <si>
    <t>W.D.V of Fixed Assets as per Book</t>
  </si>
  <si>
    <t>W.D.V of Fixed Assets as per IT</t>
  </si>
  <si>
    <t>Timing Difference</t>
  </si>
  <si>
    <t>As per Book</t>
  </si>
  <si>
    <t>As per Income Tax Act 1961</t>
  </si>
  <si>
    <t>A. Applicable tax rate is 25.168%</t>
  </si>
  <si>
    <t>Nature of Prior Period Items</t>
  </si>
  <si>
    <t>Income tax &amp; Interest on IT</t>
  </si>
  <si>
    <t>Director Remuneration</t>
  </si>
  <si>
    <t>D. Closing Balance Net DTL/(DTA) (B+C)</t>
  </si>
  <si>
    <t>Assets Written off</t>
  </si>
  <si>
    <t xml:space="preserve"> Profit before Exceptional &amp; Extraordinary and  </t>
  </si>
  <si>
    <t xml:space="preserve"> Prior Period Items and Tax (III-IV)</t>
  </si>
  <si>
    <t xml:space="preserve"> Profit before Extraordinary &amp; Prior Period Items </t>
  </si>
  <si>
    <t xml:space="preserve"> and Tax (V-VI)</t>
  </si>
  <si>
    <t>X.</t>
  </si>
  <si>
    <t>IX</t>
  </si>
  <si>
    <t xml:space="preserve"> Operations (VIII-IX)</t>
  </si>
  <si>
    <t xml:space="preserve"> a. Extraordinary Items</t>
  </si>
  <si>
    <t xml:space="preserve"> b. Prior Period Items</t>
  </si>
  <si>
    <t xml:space="preserve">     - ESI &amp; PF Contribution Payable</t>
  </si>
  <si>
    <r>
      <t>Note : Income Tax</t>
    </r>
    <r>
      <rPr>
        <sz val="11"/>
        <color theme="1"/>
        <rFont val="Arial"/>
        <family val="2"/>
      </rPr>
      <t>:</t>
    </r>
  </si>
  <si>
    <t>38. Total value of all imported and indigenous raw material, spare parts and components consumed and Percentage of each to the total consumption :</t>
  </si>
  <si>
    <t>39. Earnings in Foreign exchange</t>
  </si>
  <si>
    <t>40. Disclosure relating to suppliers registered under MSMED Act are as follows :</t>
  </si>
  <si>
    <t>During the year, Input GST Credit amounting to ₹1,41,84,684 pertaining to purchases from certain suppliers has not been availed in GSTR-3B due to non-reflection of such invoices in GSTR-2B. The Company has accordingly carried forward such unclaimed ITC under ‘Other Current Assets’.”</t>
  </si>
  <si>
    <t>Tax Effect (Rs)</t>
  </si>
  <si>
    <t>B.Deferred Tax Liability</t>
  </si>
  <si>
    <t>C. Deferred Tax Assets</t>
  </si>
  <si>
    <t>The Accompanying Notes 1 -  46 are an Integral Part of Financial Statements</t>
  </si>
  <si>
    <t xml:space="preserve"> Advances Written Off</t>
  </si>
  <si>
    <t xml:space="preserve"> Add/(Less): Prior Period Adjustment</t>
  </si>
  <si>
    <t xml:space="preserve"> Due to MSME</t>
  </si>
  <si>
    <t xml:space="preserve"> Due to creditors other than MSME</t>
  </si>
  <si>
    <t xml:space="preserve"> Advances from Customers</t>
  </si>
  <si>
    <t xml:space="preserve"> Secured, Considered goods</t>
  </si>
  <si>
    <t xml:space="preserve"> Advance to Supplier</t>
  </si>
  <si>
    <t xml:space="preserve"> Advance to Other Parties</t>
  </si>
  <si>
    <t>Direct Expenses</t>
  </si>
  <si>
    <t xml:space="preserve"> Site Expenses</t>
  </si>
  <si>
    <t>a. Site Room Rent</t>
  </si>
  <si>
    <t>b. Site EB Charges</t>
  </si>
  <si>
    <t>c. Site Commission Paid</t>
  </si>
  <si>
    <t>d. Site Insurance Expenes</t>
  </si>
  <si>
    <t xml:space="preserve"> Computer &amp; Software Maintenance</t>
  </si>
  <si>
    <t xml:space="preserve"> Sale of Solar Power Plant</t>
  </si>
  <si>
    <t xml:space="preserve">     - TDS &amp; TCS Receivable</t>
  </si>
  <si>
    <t xml:space="preserve"> Gratuity Expenses</t>
  </si>
  <si>
    <t xml:space="preserve">  c. Long term Provisions</t>
  </si>
  <si>
    <t>Note: 5 Long term Provisions</t>
  </si>
  <si>
    <t>As at 3st March, 2025</t>
  </si>
  <si>
    <t>Provision for Gratuity</t>
  </si>
  <si>
    <t>Note: 6 Short-term Borrowing</t>
  </si>
  <si>
    <t>Note: 6.1 Details of Short term Borrowings :-</t>
  </si>
  <si>
    <t>Note: 7 Trade Payables</t>
  </si>
  <si>
    <t>7.1 AGEING ANALYSIS OF TRADE PAYABLES :-</t>
  </si>
  <si>
    <t>7.1.1.Trade Payables Ageing Schedule as at March 31, 2025</t>
  </si>
  <si>
    <t>7.1.2. Trade Payables Ageing Schedule as at March 31, 2024</t>
  </si>
  <si>
    <t>Note: 8 Other Current Liabilities</t>
  </si>
  <si>
    <t>Note: 9 Short-Term Provisions</t>
  </si>
  <si>
    <t>Note : 10 Property, Plant and Equipments</t>
  </si>
  <si>
    <t>Note : 11 Long term loans &amp; Advances</t>
  </si>
  <si>
    <t>Note: 12 Other Non-Current Assets</t>
  </si>
  <si>
    <t>Note : 13 Inventories</t>
  </si>
  <si>
    <t>Note : 14 Trade receivables</t>
  </si>
  <si>
    <t>14.1. AGEING ANALYSIS OF TRADE RECEIVABLES :</t>
  </si>
  <si>
    <t>14.1.1.Trade Receivable Ageing Schedule as at March, 2025</t>
  </si>
  <si>
    <t>14.1.2.Trade Receivable Ageing Schedule as at March, 2024</t>
  </si>
  <si>
    <t>Note : 15 Cash and Cash Equivalents</t>
  </si>
  <si>
    <t>Note : 16 Short term Loans &amp; Advances</t>
  </si>
  <si>
    <t>Note: 17 Other current assets</t>
  </si>
  <si>
    <t>Note : 18 Revenue from Operations</t>
  </si>
  <si>
    <t>Note: 19 Other Income</t>
  </si>
  <si>
    <t>Note: 20 Purchase of Stock in Trade</t>
  </si>
  <si>
    <t>Note: 21 Changes in inventories of Work-in Progross, Finished Goods</t>
  </si>
  <si>
    <t>Note: 22 Employee Benefits Expenses</t>
  </si>
  <si>
    <t>Note: 23 Finance costs</t>
  </si>
  <si>
    <t>Note: 24 Depreciation and Amortization Expenses</t>
  </si>
  <si>
    <t>Note: 25 Other Expenses</t>
  </si>
  <si>
    <t>Note: 25.1 Payment to the Auditors</t>
  </si>
  <si>
    <t xml:space="preserve">27.4.1. An entity shall Classify an asset as current when - </t>
  </si>
  <si>
    <t>27.4.2. An entity shall classify liabilities as current when -</t>
  </si>
  <si>
    <t>28.1.1. Tangible Assets:</t>
  </si>
  <si>
    <t>28.1.2. Intangible Assets:</t>
  </si>
  <si>
    <t xml:space="preserve">28.1.3. Capital Work-in-Progress: </t>
  </si>
  <si>
    <t>28.11.1. Sale of Goods:</t>
  </si>
  <si>
    <t>28.11.2 Sale of Services :</t>
  </si>
  <si>
    <t>The Company provides a defined benefit retirement plan (gratuity) covering eligible employees. The gratuity liability is determined based on actuarial valuation using the Projected Unit Credit Method, carried out by an independent actuary as at the balance sheet date. Gratuity expenses are recognised in the Statement of Profit and Loss. Actuarial gains and losses arising from remeasurements of the defined benefit obligation are recognised immediately in the Statement of Profit and Loss.</t>
  </si>
  <si>
    <t>The Company is engaged in the business of Engineering, Procurement, and Construction (EPC) of power projects, as well as providing operation and maintenance services. The entire operations are subject to similar risks and returns and have, therefore, been considered as representing a single reportable primary segment</t>
  </si>
  <si>
    <r>
      <t xml:space="preserve">The Company’s operations are carried out within India, and hence revenue from customers outside India is </t>
    </r>
    <r>
      <rPr>
        <b/>
        <sz val="11.5"/>
        <color theme="1"/>
        <rFont val="Arial"/>
        <family val="2"/>
      </rPr>
      <t>Nil</t>
    </r>
    <r>
      <rPr>
        <sz val="11.5"/>
        <color theme="1"/>
        <rFont val="Arial"/>
        <family val="2"/>
      </rPr>
      <t>.</t>
    </r>
  </si>
  <si>
    <t>Geographical Information :</t>
  </si>
  <si>
    <t>28.13.1. Short term employee benefits:</t>
  </si>
  <si>
    <t>28.13.2. Post-employment benefits: -</t>
  </si>
  <si>
    <t>28.15.1. Basic Earnings Per Share:</t>
  </si>
  <si>
    <t>28.15.2. Diluted Earnings Per Share:</t>
  </si>
  <si>
    <t>29. Disclosure pursuant to AS 15 " Employee Benefit Expenses"</t>
  </si>
  <si>
    <t>29.1. Contribution to Defined Contribution Plan :</t>
  </si>
  <si>
    <t>30.1 List of Related Parties &amp; Their Relationship :</t>
  </si>
  <si>
    <t>30.3. Balances outstanding with related parties at the end of the year :-</t>
  </si>
  <si>
    <t>31. Disclosure pursuant to AS 22 " Accounting for Taxes on Income"</t>
  </si>
  <si>
    <t>Disallowance w.r.t Sec 43B of IT Act, 1961</t>
  </si>
  <si>
    <t>31.2. Computation of Current tax Expenses &amp; Tax Expenses to be debited to the Statement of Profit &amp; Loss Account : -</t>
  </si>
  <si>
    <t>32. Contingent Liabilities and Commitments :-</t>
  </si>
  <si>
    <t>32.1. Contingent Liabilities ;-</t>
  </si>
  <si>
    <t>32.2. Commitments :-</t>
  </si>
  <si>
    <t>33. Disclosure pursuant to AS 20 "Earnings Per Share"</t>
  </si>
  <si>
    <t>34.1. The financial statement include the following prior period items:</t>
  </si>
  <si>
    <t>34.2. Changes in Accounting Policies :</t>
  </si>
  <si>
    <t>Note: 35 Corporate Social Responsibility (CSR) :</t>
  </si>
  <si>
    <t xml:space="preserve">35.1. </t>
  </si>
  <si>
    <t xml:space="preserve">35.2. </t>
  </si>
  <si>
    <t>Goods and Service Tax (GST) Liability :-</t>
  </si>
  <si>
    <t>36. Value of Imports calculated on C.I.F. basis by the company during the financial year :</t>
  </si>
  <si>
    <t>29.2 Contribution of Defined Benefits Plan :</t>
  </si>
  <si>
    <t>The Company has a defined benefit plan for gratuity in accordance with the provisions of the Payment of Gratuity Act, 1972. The liability for gratuity has been determined based on actuarial valuation and recognized in the financial statements.</t>
  </si>
  <si>
    <t>(a) Amount remaining unpaid to any supplier at the end of each accounting year: (Refer Note)</t>
  </si>
  <si>
    <t>Note :</t>
  </si>
  <si>
    <r>
      <rPr>
        <b/>
        <sz val="11.5"/>
        <rFont val="Arial"/>
        <family val="2"/>
      </rPr>
      <t>M/s. PROGEN RENEWABLES LIMITED [CIN: U31909TZ2017PLC029803]</t>
    </r>
    <r>
      <rPr>
        <sz val="11.5"/>
        <rFont val="Arial"/>
        <family val="2"/>
      </rPr>
      <t xml:space="preserve"> is a Public Limited Company incorporated in India on December 21, 2017 under the Provisions of the Companies Act, 2013 having its Registered Office at 87 A, First Floor, Sathy Road, Muniappan Koil Street, Ganapathy, Coimbatore, Tamil Nadu - 641 006.</t>
    </r>
  </si>
  <si>
    <t xml:space="preserve"> Provision for Gratuity</t>
  </si>
  <si>
    <t xml:space="preserve"> Prior Period Adjustment</t>
  </si>
  <si>
    <t xml:space="preserve"> 3. Deferred Tax (Income) / Expenses</t>
  </si>
  <si>
    <t xml:space="preserve"> JCB Crane Charges</t>
  </si>
  <si>
    <t xml:space="preserve"> Vehicle Insurance </t>
  </si>
  <si>
    <t>As at 31st March 2025, the Company has an undisputed liability towards Goods and Services Tax (GST) amounting to ₹10,09,19,198 /-. Out of this, an amount of ₹2,95,00,000/- has been paid subsequent to the reporting date during the financial year 2025–26. The balance of ₹7,14,19,198 /- remains unpaid as on the balance sheet date, but the same is not outstanding for more than six months from the end of the financial year.</t>
  </si>
  <si>
    <t>Total(A+B+C)</t>
  </si>
  <si>
    <t xml:space="preserve">   - Progen Energy Solutions</t>
  </si>
  <si>
    <t>As at 31st March 2025, the principal amount due to Micro, Small and Medium Enterprises, to the extent identified by the management, is as under:</t>
  </si>
  <si>
    <t>Directors or his Relatives</t>
  </si>
  <si>
    <t>&lt; 6 Months</t>
  </si>
  <si>
    <t xml:space="preserve"> Fixed Deposits</t>
  </si>
  <si>
    <t xml:space="preserve">  (ii) Other Bank Balances</t>
  </si>
  <si>
    <r>
      <t xml:space="preserve">During the year, the Company has recognized gratuity expense of </t>
    </r>
    <r>
      <rPr>
        <b/>
        <sz val="11"/>
        <color theme="1"/>
        <rFont val="Arial"/>
        <family val="2"/>
      </rPr>
      <t>₹1,204.78 thousands</t>
    </r>
    <r>
      <rPr>
        <sz val="11"/>
        <color theme="1"/>
        <rFont val="Arial"/>
        <family val="2"/>
      </rPr>
      <t xml:space="preserve"> in the Statement of Profit and Loss. The same amount has been provided as a liability under “Long term Provision” in the Balance Sheet.</t>
    </r>
  </si>
  <si>
    <t>30 Disclosure pursuant to AS 18 " Related Party Disclosures"</t>
  </si>
  <si>
    <t xml:space="preserve">     - Mr. Karthik Veluchamy Kottur - Independent Director</t>
  </si>
  <si>
    <t xml:space="preserve">     - Mr. Shyam Sundar Venkatraman - Independent Director</t>
  </si>
  <si>
    <t xml:space="preserve">     - Mr. Innocent Judejoseph Antonyjoseph - Independent Director</t>
  </si>
  <si>
    <t xml:space="preserve">Note: 30.2 Transaction with Related Parties :-                                                                     </t>
  </si>
  <si>
    <t xml:space="preserve">31.1. Deferred Tax (Assets) / Liability Net                                                                               </t>
  </si>
  <si>
    <t>Amount in thousands</t>
  </si>
  <si>
    <t>d. Total CSR Obligation for the financial year (a+b+c): Rs. 945.64 /-</t>
  </si>
  <si>
    <t>a. Two percent of average net profit of the company as per Section 135(5) : 945.64 /-</t>
  </si>
  <si>
    <t>Average net profit of the company as per Section 135(5) : 47,281.97 /-</t>
  </si>
  <si>
    <t>34. Disclosure pursuant to AS 5: "Prior Period Items and Changes in Accounting Policies"</t>
  </si>
  <si>
    <t>a. Outstanding dues for less than 45 days – ₹ 99,925.21 /- (in thousands)</t>
  </si>
  <si>
    <t>b. Outstanding dues for more than 45 days – ₹ 22,060.31 /- (in thousands)</t>
  </si>
  <si>
    <t>Out of the above point (b) , an amount of ₹ 14,958.71 /-  thousands is payable to DKD Engineers Private Limited, a supplier registered under the MSME Act. The Company has not provided interest on such dues as required under Section 16 of the MSME Act, 2006, due to ongoing disputes relating to the underlying project with the customer. The amount of such interest, if any, is currently not ascertainable. In the opinion of the management, non-provision of such interest does not have a material impact on the financial statements.</t>
  </si>
  <si>
    <t>The company has made a pre-deposit of Rs. 9,94,568 /- as part of the appeal process to the income tax authorities.</t>
  </si>
  <si>
    <r>
      <t xml:space="preserve">As Per Section 135 of Companies Act 2013, During the year 2024-25, </t>
    </r>
    <r>
      <rPr>
        <b/>
        <sz val="11"/>
        <rFont val="Arial"/>
        <family val="2"/>
      </rPr>
      <t xml:space="preserve">the company has spent an amount of Rs 9,50,000 /- </t>
    </r>
    <r>
      <rPr>
        <sz val="11"/>
        <rFont val="Arial"/>
        <family val="2"/>
      </rPr>
      <t xml:space="preserve"> towards the CSR activities. The Company has utilized the amount for the identified CSR activities. Details of CSR Funds spent during the year are given below;</t>
    </r>
  </si>
  <si>
    <r>
      <t xml:space="preserve">The company has an outstanding liability of income tax dues for the year 2021-22 amounting to </t>
    </r>
    <r>
      <rPr>
        <b/>
        <sz val="11"/>
        <color theme="1"/>
        <rFont val="Arial"/>
        <family val="2"/>
      </rPr>
      <t xml:space="preserve">Rs. 49,72,840 /- </t>
    </r>
    <r>
      <rPr>
        <sz val="11"/>
        <color theme="1"/>
        <rFont val="Arial"/>
        <family val="2"/>
      </rPr>
      <t xml:space="preserve"> for which an appeal has been filed. The outcome of the appeal is still pending before the ITAT. The company is unable to predict the final outcome of the appeal and, as such, no provision has been made for the liability in the financial statements. This amount is disclosed as a contingent liability.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</si>
</sst>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_ * #,##0_ ;_ * \-#,##0_ ;_ * &quot;-&quot;??_ ;_ @_ "/>
    <numFmt numFmtId="167" formatCode="0.000%"/>
    <numFmt numFmtId="168" formatCode="0.0%"/>
    <numFmt numFmtId="169" formatCode="0.000000000%"/>
  </numFmts>
  <fonts count="27" x14ac:knownFonts="1">
    <font>
      <sz val="11"/>
      <color theme="1"/>
      <name val="Calibri"/>
      <family val="2"/>
      <scheme val="minor"/>
    </font>
    <font>
      <sz val="11"/>
      <color theme="1"/>
      <name val="Calibri"/>
      <family val="2"/>
      <scheme val="minor"/>
    </font>
    <font>
      <sz val="10"/>
      <color rgb="FF000000"/>
      <name val="Calibri"/>
      <family val="2"/>
      <scheme val="minor"/>
    </font>
    <font>
      <sz val="10"/>
      <name val="Arial"/>
      <family val="2"/>
    </font>
    <font>
      <sz val="11"/>
      <color indexed="8"/>
      <name val="Calibri"/>
      <family val="2"/>
    </font>
    <font>
      <sz val="11"/>
      <color rgb="FF000000"/>
      <name val="Calibri"/>
      <family val="2"/>
    </font>
    <font>
      <b/>
      <sz val="11"/>
      <color theme="1"/>
      <name val="Arial"/>
      <family val="2"/>
    </font>
    <font>
      <sz val="11"/>
      <color theme="1"/>
      <name val="Arial"/>
      <family val="2"/>
    </font>
    <font>
      <b/>
      <sz val="11"/>
      <name val="Arial"/>
      <family val="2"/>
    </font>
    <font>
      <b/>
      <u/>
      <sz val="11"/>
      <name val="Arial"/>
      <family val="2"/>
    </font>
    <font>
      <sz val="11"/>
      <name val="Arial"/>
      <family val="2"/>
    </font>
    <font>
      <b/>
      <sz val="12"/>
      <color theme="1"/>
      <name val="Arial"/>
      <family val="2"/>
    </font>
    <font>
      <b/>
      <sz val="11.5"/>
      <name val="Arial"/>
      <family val="2"/>
    </font>
    <font>
      <sz val="11.5"/>
      <name val="Arial"/>
      <family val="2"/>
    </font>
    <font>
      <b/>
      <sz val="12"/>
      <name val="Arial"/>
      <family val="2"/>
    </font>
    <font>
      <b/>
      <u/>
      <sz val="11.5"/>
      <name val="Arial"/>
      <family val="2"/>
    </font>
    <font>
      <vertAlign val="superscript"/>
      <sz val="11.5"/>
      <name val="Arial"/>
      <family val="2"/>
    </font>
    <font>
      <u/>
      <sz val="11.5"/>
      <name val="Arial"/>
      <family val="2"/>
    </font>
    <font>
      <b/>
      <sz val="10"/>
      <name val="Arial"/>
      <family val="2"/>
    </font>
    <font>
      <b/>
      <sz val="10.5"/>
      <name val="Arial"/>
      <family val="2"/>
    </font>
    <font>
      <sz val="10.5"/>
      <name val="Arial"/>
      <family val="2"/>
    </font>
    <font>
      <b/>
      <sz val="11"/>
      <color theme="0"/>
      <name val="Arial"/>
      <family val="2"/>
    </font>
    <font>
      <b/>
      <sz val="11.5"/>
      <color theme="1"/>
      <name val="Arial"/>
      <family val="2"/>
    </font>
    <font>
      <sz val="11.5"/>
      <color theme="1"/>
      <name val="Arial"/>
      <family val="2"/>
    </font>
    <font>
      <sz val="9.5"/>
      <name val="Arial"/>
      <family val="2"/>
    </font>
    <font>
      <b/>
      <sz val="9.5"/>
      <name val="Arial"/>
      <family val="2"/>
    </font>
    <font>
      <b/>
      <u/>
      <sz val="12"/>
      <name val="Arial"/>
      <family val="2"/>
    </font>
  </fonts>
  <fills count="2">
    <fill>
      <patternFill patternType="none"/>
    </fill>
    <fill>
      <patternFill patternType="gray125"/>
    </fill>
  </fills>
  <borders count="75">
    <border>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style="medium">
        <color indexed="64"/>
      </top>
      <bottom style="thin">
        <color indexed="64"/>
      </bottom>
      <diagonal/>
    </border>
    <border>
      <left/>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medium">
        <color indexed="64"/>
      </right>
      <top style="double">
        <color indexed="64"/>
      </top>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double">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double">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164" fontId="3" fillId="0" borderId="0" applyFont="0" applyFill="0" applyBorder="0" applyAlignment="0" applyProtection="0"/>
    <xf numFmtId="0" fontId="4" fillId="0" borderId="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43" fontId="2" fillId="0" borderId="0" applyFont="0" applyFill="0" applyBorder="0" applyAlignment="0" applyProtection="0"/>
  </cellStyleXfs>
  <cellXfs count="912">
    <xf numFmtId="0" fontId="0" fillId="0" borderId="0" xfId="0"/>
    <xf numFmtId="0" fontId="7" fillId="0" borderId="0" xfId="0" applyFont="1" applyAlignment="1">
      <alignment vertical="center"/>
    </xf>
    <xf numFmtId="43" fontId="7" fillId="0" borderId="1" xfId="1" applyFont="1" applyBorder="1" applyAlignment="1">
      <alignment vertical="center"/>
    </xf>
    <xf numFmtId="43" fontId="7" fillId="0" borderId="11" xfId="1" applyFont="1" applyBorder="1" applyAlignment="1">
      <alignment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vertical="center"/>
    </xf>
    <xf numFmtId="0" fontId="7" fillId="0" borderId="2" xfId="0" applyFont="1" applyBorder="1" applyAlignment="1">
      <alignment vertical="center"/>
    </xf>
    <xf numFmtId="43" fontId="7" fillId="0" borderId="11" xfId="1" applyFont="1" applyBorder="1" applyAlignment="1">
      <alignment horizontal="right" vertical="center"/>
    </xf>
    <xf numFmtId="43" fontId="7" fillId="0" borderId="1" xfId="1" applyFont="1" applyBorder="1" applyAlignment="1">
      <alignment horizontal="right" vertical="center"/>
    </xf>
    <xf numFmtId="43" fontId="8" fillId="0" borderId="11" xfId="1" applyFont="1" applyFill="1" applyBorder="1" applyAlignment="1">
      <alignment horizontal="right" vertical="center"/>
    </xf>
    <xf numFmtId="43" fontId="10" fillId="0" borderId="11" xfId="1" applyFont="1" applyFill="1" applyBorder="1" applyAlignment="1">
      <alignment horizontal="right" vertical="center"/>
    </xf>
    <xf numFmtId="43" fontId="10" fillId="0" borderId="1" xfId="1" applyFont="1" applyFill="1" applyBorder="1" applyAlignment="1">
      <alignment horizontal="right" vertical="center"/>
    </xf>
    <xf numFmtId="43" fontId="8" fillId="0" borderId="25" xfId="1" applyFont="1" applyFill="1" applyBorder="1" applyAlignment="1">
      <alignment horizontal="right" vertical="center"/>
    </xf>
    <xf numFmtId="43" fontId="8" fillId="0" borderId="46" xfId="1" applyFont="1" applyFill="1" applyBorder="1" applyAlignment="1">
      <alignment horizontal="right" vertical="center"/>
    </xf>
    <xf numFmtId="0" fontId="8" fillId="0" borderId="17" xfId="4" applyNumberFormat="1" applyFont="1" applyFill="1" applyBorder="1" applyAlignment="1" applyProtection="1">
      <alignment horizontal="center" vertical="center"/>
    </xf>
    <xf numFmtId="0" fontId="8" fillId="0" borderId="12" xfId="4" applyNumberFormat="1" applyFont="1" applyFill="1" applyBorder="1" applyAlignment="1">
      <alignment horizontal="center" vertical="center"/>
    </xf>
    <xf numFmtId="0" fontId="10" fillId="0" borderId="11" xfId="4" applyNumberFormat="1" applyFont="1" applyFill="1" applyBorder="1" applyAlignment="1" applyProtection="1">
      <alignment horizontal="left" vertical="center"/>
    </xf>
    <xf numFmtId="0" fontId="10" fillId="0" borderId="30" xfId="4" applyNumberFormat="1" applyFont="1" applyFill="1" applyBorder="1" applyAlignment="1">
      <alignment horizontal="left" vertical="center"/>
    </xf>
    <xf numFmtId="43" fontId="8" fillId="0" borderId="26" xfId="1" applyFont="1" applyFill="1" applyBorder="1" applyAlignment="1">
      <alignment horizontal="right" vertical="center"/>
    </xf>
    <xf numFmtId="43" fontId="8" fillId="0" borderId="52" xfId="1" applyFont="1" applyFill="1" applyBorder="1" applyAlignment="1">
      <alignment horizontal="right" vertical="center"/>
    </xf>
    <xf numFmtId="43" fontId="8" fillId="0" borderId="53" xfId="1" applyFont="1" applyFill="1" applyBorder="1" applyAlignment="1">
      <alignment horizontal="right" vertical="center"/>
    </xf>
    <xf numFmtId="0" fontId="7" fillId="0" borderId="0" xfId="0" applyFont="1" applyAlignment="1">
      <alignment horizontal="center" vertical="center"/>
    </xf>
    <xf numFmtId="0" fontId="12" fillId="0" borderId="17" xfId="5" applyFont="1" applyBorder="1" applyAlignment="1">
      <alignment horizontal="center" vertical="center" wrapText="1"/>
    </xf>
    <xf numFmtId="0" fontId="12" fillId="0" borderId="4" xfId="5" applyFont="1" applyBorder="1" applyAlignment="1">
      <alignment horizontal="center" vertical="center" wrapText="1"/>
    </xf>
    <xf numFmtId="0" fontId="7" fillId="0" borderId="11" xfId="0" applyFont="1" applyBorder="1" applyAlignment="1">
      <alignment vertical="center"/>
    </xf>
    <xf numFmtId="9" fontId="7" fillId="0" borderId="11" xfId="2" applyFont="1" applyBorder="1" applyAlignment="1">
      <alignment horizontal="center" vertical="center"/>
    </xf>
    <xf numFmtId="9" fontId="7" fillId="0" borderId="11" xfId="2" applyFont="1" applyBorder="1" applyAlignment="1">
      <alignment vertical="center"/>
    </xf>
    <xf numFmtId="0" fontId="6" fillId="0" borderId="58" xfId="0" applyFont="1" applyBorder="1" applyAlignment="1">
      <alignment horizontal="center" vertical="center" wrapText="1"/>
    </xf>
    <xf numFmtId="0" fontId="8" fillId="0" borderId="17" xfId="4" applyNumberFormat="1" applyFont="1" applyFill="1" applyBorder="1" applyAlignment="1">
      <alignment horizontal="center" vertical="center"/>
    </xf>
    <xf numFmtId="0" fontId="10" fillId="0" borderId="11" xfId="4" applyNumberFormat="1" applyFont="1" applyFill="1" applyBorder="1" applyAlignment="1">
      <alignment horizontal="left" vertical="center"/>
    </xf>
    <xf numFmtId="0" fontId="10" fillId="0" borderId="0" xfId="0" applyFont="1" applyAlignment="1">
      <alignmen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0" xfId="0" applyFont="1" applyAlignment="1">
      <alignment horizontal="center" vertical="center"/>
    </xf>
    <xf numFmtId="0" fontId="8" fillId="0" borderId="23" xfId="0" applyFont="1" applyBorder="1" applyAlignment="1">
      <alignment horizontal="center" vertical="center" wrapText="1"/>
    </xf>
    <xf numFmtId="0" fontId="10" fillId="0" borderId="9" xfId="0" applyFont="1" applyBorder="1" applyAlignment="1">
      <alignment vertical="center"/>
    </xf>
    <xf numFmtId="0" fontId="10" fillId="0" borderId="7" xfId="0" applyFont="1" applyBorder="1" applyAlignment="1">
      <alignment horizontal="center" vertical="center"/>
    </xf>
    <xf numFmtId="0" fontId="8" fillId="0" borderId="13" xfId="4" applyNumberFormat="1" applyFont="1" applyFill="1" applyBorder="1" applyAlignment="1" applyProtection="1">
      <alignment horizontal="center" vertical="center" wrapText="1"/>
    </xf>
    <xf numFmtId="43" fontId="10" fillId="0" borderId="0" xfId="1" applyFont="1" applyFill="1" applyAlignment="1">
      <alignment vertical="center"/>
    </xf>
    <xf numFmtId="43" fontId="10" fillId="0" borderId="0" xfId="0" applyNumberFormat="1" applyFont="1" applyAlignment="1">
      <alignment vertical="center"/>
    </xf>
    <xf numFmtId="0" fontId="8" fillId="0" borderId="23" xfId="0" applyFont="1" applyBorder="1" applyAlignment="1">
      <alignment horizontal="center" vertical="center"/>
    </xf>
    <xf numFmtId="166" fontId="10" fillId="0" borderId="0" xfId="1" applyNumberFormat="1" applyFont="1" applyFill="1" applyBorder="1" applyAlignment="1">
      <alignment horizontal="center" vertical="center"/>
    </xf>
    <xf numFmtId="166" fontId="10" fillId="0" borderId="0" xfId="1" applyNumberFormat="1" applyFont="1" applyFill="1" applyAlignment="1">
      <alignment vertical="center"/>
    </xf>
    <xf numFmtId="166" fontId="10" fillId="0" borderId="0" xfId="1" applyNumberFormat="1" applyFont="1" applyFill="1" applyAlignment="1">
      <alignment horizontal="center" vertical="center"/>
    </xf>
    <xf numFmtId="0" fontId="13" fillId="0" borderId="0" xfId="0" applyFont="1" applyAlignment="1">
      <alignment horizontal="justify" vertical="center"/>
    </xf>
    <xf numFmtId="0" fontId="13" fillId="0" borderId="0" xfId="0" applyFont="1" applyAlignment="1">
      <alignment horizontal="justify" vertical="center" wrapText="1"/>
    </xf>
    <xf numFmtId="43" fontId="10" fillId="0" borderId="31" xfId="1" applyFont="1" applyFill="1" applyBorder="1" applyAlignment="1" applyProtection="1">
      <alignment horizontal="right" vertical="center"/>
    </xf>
    <xf numFmtId="43" fontId="10" fillId="0" borderId="1" xfId="1" applyFont="1" applyFill="1" applyBorder="1" applyAlignment="1" applyProtection="1">
      <alignment horizontal="right" vertical="center"/>
    </xf>
    <xf numFmtId="43" fontId="8" fillId="0" borderId="2" xfId="1" applyFont="1" applyFill="1" applyBorder="1" applyAlignment="1" applyProtection="1">
      <alignment horizontal="right" vertical="center"/>
    </xf>
    <xf numFmtId="43" fontId="10" fillId="0" borderId="30" xfId="1" applyFont="1" applyFill="1" applyBorder="1" applyAlignment="1">
      <alignment horizontal="right" vertical="center"/>
    </xf>
    <xf numFmtId="43" fontId="10" fillId="0" borderId="31" xfId="1" applyFont="1" applyFill="1" applyBorder="1" applyAlignment="1">
      <alignment horizontal="right" vertical="center"/>
    </xf>
    <xf numFmtId="43" fontId="10" fillId="0" borderId="11" xfId="1" applyFont="1" applyBorder="1" applyAlignment="1">
      <alignment horizontal="right" vertical="center"/>
    </xf>
    <xf numFmtId="43" fontId="10" fillId="0" borderId="11" xfId="1" applyFont="1" applyFill="1" applyBorder="1" applyAlignment="1" applyProtection="1">
      <alignment horizontal="right" vertical="center"/>
    </xf>
    <xf numFmtId="43" fontId="10" fillId="0" borderId="30" xfId="1" applyFont="1" applyFill="1" applyBorder="1" applyAlignment="1" applyProtection="1">
      <alignment horizontal="right" vertical="center"/>
    </xf>
    <xf numFmtId="43" fontId="10" fillId="0" borderId="12" xfId="1" applyFont="1" applyBorder="1" applyAlignment="1">
      <alignment horizontal="right" vertical="center"/>
    </xf>
    <xf numFmtId="0" fontId="8" fillId="0" borderId="17" xfId="1" applyNumberFormat="1" applyFont="1" applyFill="1" applyBorder="1" applyAlignment="1" applyProtection="1">
      <alignment horizontal="center" vertical="center" wrapText="1"/>
    </xf>
    <xf numFmtId="43" fontId="8" fillId="0" borderId="12" xfId="1" applyFont="1" applyFill="1" applyBorder="1" applyAlignment="1" applyProtection="1">
      <alignment horizontal="right" vertical="center"/>
    </xf>
    <xf numFmtId="0" fontId="8" fillId="0" borderId="17" xfId="0" applyFont="1" applyBorder="1" applyAlignment="1">
      <alignment horizontal="center" vertical="center" wrapText="1"/>
    </xf>
    <xf numFmtId="43" fontId="10" fillId="0" borderId="1" xfId="1" applyFont="1" applyBorder="1" applyAlignment="1">
      <alignment horizontal="right" vertical="center"/>
    </xf>
    <xf numFmtId="0" fontId="8" fillId="0" borderId="17" xfId="1" applyNumberFormat="1" applyFont="1" applyFill="1" applyBorder="1" applyAlignment="1">
      <alignment horizontal="center" vertical="center" wrapText="1"/>
    </xf>
    <xf numFmtId="43" fontId="10" fillId="0" borderId="12" xfId="1" applyFont="1" applyFill="1" applyBorder="1" applyAlignment="1">
      <alignment horizontal="right" vertical="center"/>
    </xf>
    <xf numFmtId="43" fontId="10" fillId="0" borderId="2" xfId="1" applyFont="1" applyFill="1" applyBorder="1" applyAlignment="1">
      <alignment horizontal="right" vertical="center"/>
    </xf>
    <xf numFmtId="43" fontId="8" fillId="0" borderId="12" xfId="1" applyFont="1" applyFill="1" applyBorder="1" applyAlignment="1">
      <alignment horizontal="right" vertical="center"/>
    </xf>
    <xf numFmtId="0" fontId="10" fillId="0" borderId="0" xfId="1" applyNumberFormat="1" applyFont="1" applyFill="1" applyAlignment="1">
      <alignment vertical="center"/>
    </xf>
    <xf numFmtId="43" fontId="10" fillId="0" borderId="10" xfId="1" applyFont="1" applyFill="1" applyBorder="1" applyAlignment="1" applyProtection="1">
      <alignment horizontal="right" vertical="center"/>
    </xf>
    <xf numFmtId="0" fontId="10" fillId="0" borderId="0" xfId="4" applyNumberFormat="1" applyFont="1" applyFill="1" applyBorder="1" applyAlignment="1" applyProtection="1">
      <alignment horizontal="left" vertical="center"/>
    </xf>
    <xf numFmtId="43" fontId="10" fillId="0" borderId="0" xfId="1" applyFont="1" applyFill="1" applyBorder="1" applyAlignment="1" applyProtection="1">
      <alignment horizontal="right" vertical="center"/>
    </xf>
    <xf numFmtId="0" fontId="10" fillId="0" borderId="30" xfId="4" applyNumberFormat="1" applyFont="1" applyFill="1" applyBorder="1" applyAlignment="1" applyProtection="1">
      <alignment horizontal="left" vertical="center"/>
    </xf>
    <xf numFmtId="0" fontId="8" fillId="0" borderId="11" xfId="4" applyNumberFormat="1" applyFont="1" applyFill="1" applyBorder="1" applyAlignment="1" applyProtection="1">
      <alignment horizontal="left" vertical="center"/>
    </xf>
    <xf numFmtId="10" fontId="10" fillId="0" borderId="1" xfId="2" applyNumberFormat="1" applyFont="1" applyFill="1" applyBorder="1" applyAlignment="1" applyProtection="1">
      <alignment horizontal="right" vertical="center"/>
    </xf>
    <xf numFmtId="43" fontId="10" fillId="0" borderId="10" xfId="1" applyFont="1" applyFill="1" applyBorder="1" applyAlignment="1">
      <alignment horizontal="right" vertical="center"/>
    </xf>
    <xf numFmtId="0" fontId="10" fillId="0" borderId="55" xfId="0" applyFont="1" applyBorder="1" applyAlignment="1">
      <alignment horizontal="center" vertical="center"/>
    </xf>
    <xf numFmtId="0" fontId="8" fillId="0" borderId="23" xfId="4" applyNumberFormat="1" applyFont="1" applyFill="1" applyBorder="1" applyAlignment="1">
      <alignment horizontal="center" vertical="center"/>
    </xf>
    <xf numFmtId="0" fontId="10" fillId="0" borderId="8" xfId="4" applyNumberFormat="1" applyFont="1" applyFill="1" applyBorder="1" applyAlignment="1">
      <alignment horizontal="center" vertical="center"/>
    </xf>
    <xf numFmtId="0" fontId="10" fillId="0" borderId="29" xfId="4" applyNumberFormat="1" applyFont="1" applyFill="1" applyBorder="1" applyAlignment="1">
      <alignment horizontal="center" vertical="center"/>
    </xf>
    <xf numFmtId="0" fontId="10" fillId="0" borderId="9" xfId="4" applyNumberFormat="1" applyFont="1" applyFill="1" applyBorder="1" applyAlignment="1">
      <alignment horizontal="center" vertical="center"/>
    </xf>
    <xf numFmtId="0" fontId="8" fillId="0" borderId="18" xfId="0" applyFont="1" applyBorder="1" applyAlignment="1">
      <alignment horizontal="center" vertical="center" wrapText="1"/>
    </xf>
    <xf numFmtId="0" fontId="10" fillId="0" borderId="0" xfId="0" applyFont="1" applyAlignment="1">
      <alignment horizontal="left" vertical="top"/>
    </xf>
    <xf numFmtId="0" fontId="12" fillId="0" borderId="13" xfId="0" applyFont="1" applyBorder="1" applyAlignment="1">
      <alignment horizontal="center" vertical="center" wrapText="1"/>
    </xf>
    <xf numFmtId="0" fontId="8" fillId="0" borderId="0" xfId="0" applyFont="1" applyAlignment="1">
      <alignment horizontal="left" vertical="center"/>
    </xf>
    <xf numFmtId="0" fontId="10" fillId="0" borderId="0" xfId="0" applyFont="1" applyAlignment="1">
      <alignment horizontal="left" vertical="center"/>
    </xf>
    <xf numFmtId="43" fontId="8" fillId="0" borderId="1" xfId="1" applyFont="1" applyFill="1" applyBorder="1" applyAlignment="1">
      <alignment horizontal="right" vertical="center"/>
    </xf>
    <xf numFmtId="43" fontId="10" fillId="0" borderId="2" xfId="1" applyFont="1" applyBorder="1" applyAlignment="1">
      <alignment horizontal="right" vertical="center"/>
    </xf>
    <xf numFmtId="43" fontId="8" fillId="0" borderId="26" xfId="1" applyFont="1" applyBorder="1" applyAlignment="1">
      <alignment horizontal="right" vertical="center"/>
    </xf>
    <xf numFmtId="0" fontId="12" fillId="0" borderId="17" xfId="1" applyNumberFormat="1" applyFont="1" applyFill="1" applyBorder="1" applyAlignment="1">
      <alignment horizontal="center" vertical="center" wrapText="1"/>
    </xf>
    <xf numFmtId="0" fontId="12" fillId="0" borderId="4" xfId="1" applyNumberFormat="1" applyFont="1" applyFill="1" applyBorder="1" applyAlignment="1">
      <alignment horizontal="center" vertical="center" wrapText="1"/>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3" fillId="0" borderId="0" xfId="0" applyFont="1" applyAlignment="1">
      <alignment horizontal="left" vertical="center"/>
    </xf>
    <xf numFmtId="0" fontId="15"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wrapText="1"/>
    </xf>
    <xf numFmtId="0" fontId="12" fillId="0" borderId="17" xfId="1" applyNumberFormat="1" applyFont="1" applyBorder="1" applyAlignment="1">
      <alignment horizontal="center" vertical="center" wrapText="1"/>
    </xf>
    <xf numFmtId="0" fontId="12" fillId="0" borderId="4" xfId="1" applyNumberFormat="1" applyFont="1" applyBorder="1" applyAlignment="1">
      <alignment horizontal="center" vertical="center" wrapText="1"/>
    </xf>
    <xf numFmtId="0" fontId="10" fillId="0" borderId="10" xfId="0" applyFont="1" applyBorder="1" applyAlignment="1">
      <alignment horizontal="left" vertical="center"/>
    </xf>
    <xf numFmtId="43" fontId="10" fillId="0" borderId="0" xfId="0" applyNumberFormat="1" applyFont="1" applyAlignment="1">
      <alignment horizontal="left" vertical="center"/>
    </xf>
    <xf numFmtId="0" fontId="10" fillId="0" borderId="11" xfId="0" applyFont="1" applyBorder="1" applyAlignment="1">
      <alignment horizontal="left" vertical="center"/>
    </xf>
    <xf numFmtId="0" fontId="8" fillId="0" borderId="11" xfId="0" applyFont="1" applyBorder="1" applyAlignment="1">
      <alignment horizontal="center" vertical="center"/>
    </xf>
    <xf numFmtId="43" fontId="8" fillId="0" borderId="25" xfId="1" applyFont="1" applyBorder="1" applyAlignment="1">
      <alignment horizontal="right" vertical="center"/>
    </xf>
    <xf numFmtId="43" fontId="8" fillId="0" borderId="46" xfId="1" applyFont="1" applyBorder="1" applyAlignment="1">
      <alignment horizontal="right" vertical="center"/>
    </xf>
    <xf numFmtId="0" fontId="8" fillId="0" borderId="11" xfId="0" applyFont="1" applyBorder="1" applyAlignment="1">
      <alignment horizontal="left" vertical="center"/>
    </xf>
    <xf numFmtId="43" fontId="10" fillId="0" borderId="0" xfId="1" applyFont="1" applyAlignment="1">
      <alignment horizontal="left" vertical="center"/>
    </xf>
    <xf numFmtId="0" fontId="10" fillId="0" borderId="12" xfId="0" applyFont="1" applyBorder="1" applyAlignment="1">
      <alignment horizontal="left" vertical="center"/>
    </xf>
    <xf numFmtId="0" fontId="10" fillId="0" borderId="0" xfId="1" applyNumberFormat="1" applyFont="1" applyAlignment="1">
      <alignment horizontal="left" vertical="center"/>
    </xf>
    <xf numFmtId="166" fontId="10" fillId="0" borderId="0" xfId="1" applyNumberFormat="1" applyFont="1" applyAlignment="1">
      <alignment horizontal="left" vertical="center"/>
    </xf>
    <xf numFmtId="0" fontId="8" fillId="0" borderId="0" xfId="0" applyFont="1" applyAlignment="1">
      <alignment vertical="center"/>
    </xf>
    <xf numFmtId="0" fontId="8" fillId="0" borderId="12" xfId="4" applyNumberFormat="1" applyFont="1" applyFill="1" applyBorder="1" applyAlignment="1" applyProtection="1">
      <alignment horizontal="center" vertical="center"/>
    </xf>
    <xf numFmtId="0" fontId="8" fillId="0" borderId="17" xfId="0" applyFont="1" applyBorder="1" applyAlignment="1">
      <alignment horizontal="center" vertical="center"/>
    </xf>
    <xf numFmtId="0" fontId="8" fillId="0" borderId="17" xfId="1" applyNumberFormat="1" applyFont="1" applyBorder="1" applyAlignment="1">
      <alignment horizontal="center" vertical="center" wrapText="1"/>
    </xf>
    <xf numFmtId="0" fontId="8" fillId="0" borderId="71" xfId="0" applyFont="1" applyBorder="1" applyAlignment="1">
      <alignment horizontal="center" vertical="center" wrapText="1"/>
    </xf>
    <xf numFmtId="0" fontId="10" fillId="0" borderId="48" xfId="0" applyFont="1" applyBorder="1" applyAlignment="1">
      <alignment horizontal="center" vertical="center"/>
    </xf>
    <xf numFmtId="0" fontId="10" fillId="0" borderId="18" xfId="0" applyFont="1" applyBorder="1" applyAlignment="1">
      <alignment horizontal="left" vertical="center" wrapText="1"/>
    </xf>
    <xf numFmtId="2" fontId="10" fillId="0" borderId="18" xfId="1" applyNumberFormat="1" applyFont="1" applyBorder="1" applyAlignment="1">
      <alignment horizontal="center" vertical="center"/>
    </xf>
    <xf numFmtId="10" fontId="10" fillId="0" borderId="18" xfId="2" applyNumberFormat="1" applyFont="1" applyBorder="1" applyAlignment="1">
      <alignment horizontal="center" vertical="center"/>
    </xf>
    <xf numFmtId="0" fontId="10" fillId="0" borderId="0" xfId="1" applyNumberFormat="1" applyFont="1" applyAlignment="1">
      <alignment vertical="center"/>
    </xf>
    <xf numFmtId="43" fontId="10" fillId="0" borderId="0" xfId="1" applyFont="1" applyAlignment="1">
      <alignment vertical="center"/>
    </xf>
    <xf numFmtId="43" fontId="8" fillId="0" borderId="2" xfId="1" applyFont="1" applyFill="1" applyBorder="1" applyAlignment="1">
      <alignment horizontal="right" vertical="center"/>
    </xf>
    <xf numFmtId="165" fontId="8" fillId="0" borderId="17" xfId="8" applyNumberFormat="1" applyFont="1" applyFill="1" applyBorder="1" applyAlignment="1">
      <alignment horizontal="center" vertical="center" wrapText="1"/>
    </xf>
    <xf numFmtId="165" fontId="8" fillId="0" borderId="4" xfId="8" applyNumberFormat="1" applyFont="1" applyFill="1" applyBorder="1" applyAlignment="1">
      <alignment horizontal="center" vertical="center" wrapText="1"/>
    </xf>
    <xf numFmtId="0" fontId="8" fillId="0" borderId="11" xfId="4" applyNumberFormat="1" applyFont="1" applyFill="1" applyBorder="1" applyAlignment="1">
      <alignment horizontal="left" vertical="center"/>
    </xf>
    <xf numFmtId="43" fontId="10" fillId="0" borderId="0" xfId="1" applyFont="1" applyFill="1" applyAlignment="1">
      <alignment horizontal="right" vertical="center"/>
    </xf>
    <xf numFmtId="0" fontId="8" fillId="0" borderId="0" xfId="0" applyFont="1" applyAlignment="1">
      <alignment horizontal="center" vertical="center" wrapText="1"/>
    </xf>
    <xf numFmtId="0" fontId="10" fillId="0" borderId="11" xfId="1" applyNumberFormat="1" applyFont="1" applyFill="1" applyBorder="1" applyAlignment="1">
      <alignment horizontal="center" vertical="center" wrapText="1"/>
    </xf>
    <xf numFmtId="0" fontId="10" fillId="0" borderId="1" xfId="1" applyNumberFormat="1" applyFont="1" applyFill="1" applyBorder="1" applyAlignment="1">
      <alignment horizontal="center" vertical="center" wrapText="1"/>
    </xf>
    <xf numFmtId="43" fontId="8" fillId="0" borderId="52" xfId="1" applyFont="1" applyFill="1" applyBorder="1" applyAlignment="1" applyProtection="1">
      <alignment horizontal="right" vertical="center"/>
    </xf>
    <xf numFmtId="43" fontId="8" fillId="0" borderId="53" xfId="1" applyFont="1" applyFill="1" applyBorder="1" applyAlignment="1" applyProtection="1">
      <alignment horizontal="right" vertical="center"/>
    </xf>
    <xf numFmtId="0" fontId="8" fillId="0" borderId="0" xfId="0" applyFont="1" applyAlignment="1">
      <alignment horizontal="center" vertical="center"/>
    </xf>
    <xf numFmtId="43" fontId="8" fillId="0" borderId="72" xfId="0" applyNumberFormat="1" applyFont="1" applyBorder="1" applyAlignment="1">
      <alignment horizontal="left" vertical="center"/>
    </xf>
    <xf numFmtId="43" fontId="8" fillId="0" borderId="72" xfId="1" applyFont="1" applyBorder="1" applyAlignment="1">
      <alignment horizontal="left" vertical="center"/>
    </xf>
    <xf numFmtId="10" fontId="10" fillId="0" borderId="0" xfId="2" applyNumberFormat="1" applyFont="1" applyAlignment="1">
      <alignment vertical="center"/>
    </xf>
    <xf numFmtId="0" fontId="10" fillId="0" borderId="0" xfId="1" applyNumberFormat="1" applyFont="1" applyFill="1" applyAlignment="1">
      <alignment horizontal="left" vertical="center"/>
    </xf>
    <xf numFmtId="0" fontId="8" fillId="0" borderId="18" xfId="1" applyNumberFormat="1" applyFont="1" applyFill="1" applyBorder="1" applyAlignment="1">
      <alignment horizontal="center" vertical="center" wrapText="1"/>
    </xf>
    <xf numFmtId="0" fontId="8" fillId="0" borderId="38" xfId="1" applyNumberFormat="1" applyFont="1" applyFill="1" applyBorder="1" applyAlignment="1">
      <alignment horizontal="center" vertical="center" wrapText="1"/>
    </xf>
    <xf numFmtId="0" fontId="8" fillId="0" borderId="14" xfId="1" applyNumberFormat="1" applyFont="1" applyFill="1" applyBorder="1" applyAlignment="1">
      <alignment horizontal="center" vertical="center" wrapText="1"/>
    </xf>
    <xf numFmtId="0" fontId="8" fillId="0" borderId="6" xfId="1" applyNumberFormat="1" applyFont="1" applyFill="1" applyBorder="1" applyAlignment="1">
      <alignment horizontal="center" vertical="center" wrapText="1"/>
    </xf>
    <xf numFmtId="0" fontId="8" fillId="0" borderId="0" xfId="1" applyNumberFormat="1" applyFont="1" applyFill="1" applyAlignment="1">
      <alignment horizontal="center" vertical="center" wrapText="1"/>
    </xf>
    <xf numFmtId="43" fontId="10" fillId="0" borderId="72" xfId="1" applyFont="1" applyFill="1" applyBorder="1" applyAlignment="1">
      <alignment horizontal="right" vertical="center"/>
    </xf>
    <xf numFmtId="0" fontId="10" fillId="0" borderId="52" xfId="0" applyFont="1" applyBorder="1" applyAlignment="1">
      <alignment horizontal="center" vertical="center"/>
    </xf>
    <xf numFmtId="43" fontId="10" fillId="0" borderId="39" xfId="1" applyFont="1" applyFill="1" applyBorder="1" applyAlignment="1">
      <alignment horizontal="right" vertical="center"/>
    </xf>
    <xf numFmtId="43" fontId="10" fillId="0" borderId="0" xfId="1" applyFont="1" applyFill="1" applyAlignment="1">
      <alignment horizontal="left" vertical="center"/>
    </xf>
    <xf numFmtId="43" fontId="10" fillId="0" borderId="18" xfId="1" applyFont="1" applyBorder="1" applyAlignment="1">
      <alignment horizontal="right" vertical="center"/>
    </xf>
    <xf numFmtId="43" fontId="10" fillId="0" borderId="63" xfId="1" applyFont="1" applyBorder="1" applyAlignment="1">
      <alignment horizontal="right" vertical="center"/>
    </xf>
    <xf numFmtId="43" fontId="10" fillId="0" borderId="52" xfId="1" applyFont="1" applyBorder="1" applyAlignment="1">
      <alignment horizontal="right" vertical="center"/>
    </xf>
    <xf numFmtId="43" fontId="10" fillId="0" borderId="64" xfId="1" applyFont="1" applyBorder="1" applyAlignment="1">
      <alignment horizontal="right" vertical="center"/>
    </xf>
    <xf numFmtId="0" fontId="6" fillId="0" borderId="25" xfId="0" applyFont="1" applyBorder="1" applyAlignment="1">
      <alignment horizontal="center" vertical="center"/>
    </xf>
    <xf numFmtId="43" fontId="6" fillId="0" borderId="25" xfId="1" applyFont="1" applyBorder="1" applyAlignment="1">
      <alignment horizontal="right" vertical="center"/>
    </xf>
    <xf numFmtId="9" fontId="6" fillId="0" borderId="25" xfId="2" applyFont="1" applyBorder="1" applyAlignment="1">
      <alignment vertical="center"/>
    </xf>
    <xf numFmtId="43" fontId="6" fillId="0" borderId="26" xfId="1" applyFont="1" applyBorder="1" applyAlignment="1">
      <alignment horizontal="right" vertical="center"/>
    </xf>
    <xf numFmtId="43" fontId="10" fillId="0" borderId="60" xfId="1" applyFont="1" applyBorder="1" applyAlignment="1">
      <alignment horizontal="right" vertical="center"/>
    </xf>
    <xf numFmtId="43" fontId="10" fillId="0" borderId="6" xfId="1" applyFont="1" applyBorder="1" applyAlignment="1">
      <alignment horizontal="right" vertical="center"/>
    </xf>
    <xf numFmtId="0" fontId="8" fillId="0" borderId="23" xfId="0" applyFont="1" applyBorder="1" applyAlignment="1">
      <alignment vertical="center"/>
    </xf>
    <xf numFmtId="0" fontId="10" fillId="0" borderId="18" xfId="0" applyFont="1" applyBorder="1" applyAlignment="1">
      <alignment vertical="center"/>
    </xf>
    <xf numFmtId="0" fontId="10" fillId="0" borderId="52" xfId="0" applyFont="1" applyBorder="1" applyAlignment="1">
      <alignment vertical="center"/>
    </xf>
    <xf numFmtId="43" fontId="8" fillId="0" borderId="0" xfId="1" applyFont="1" applyFill="1" applyBorder="1" applyAlignment="1" applyProtection="1">
      <alignment horizontal="right" vertical="center"/>
    </xf>
    <xf numFmtId="43" fontId="8" fillId="0" borderId="73" xfId="1" applyFont="1" applyFill="1" applyBorder="1" applyAlignment="1" applyProtection="1">
      <alignment horizontal="right" vertical="center"/>
    </xf>
    <xf numFmtId="43" fontId="8" fillId="0" borderId="39" xfId="1" applyFont="1" applyFill="1" applyBorder="1" applyAlignment="1" applyProtection="1">
      <alignment horizontal="right" vertical="center"/>
    </xf>
    <xf numFmtId="0" fontId="20" fillId="0" borderId="0" xfId="0" applyFont="1" applyAlignment="1">
      <alignment vertical="center"/>
    </xf>
    <xf numFmtId="0" fontId="19" fillId="0" borderId="0" xfId="0" applyFont="1" applyAlignment="1">
      <alignment horizontal="left" vertical="center"/>
    </xf>
    <xf numFmtId="0" fontId="19" fillId="0" borderId="0" xfId="0" applyFont="1" applyAlignment="1">
      <alignment vertical="center"/>
    </xf>
    <xf numFmtId="0" fontId="20" fillId="0" borderId="0" xfId="4" applyNumberFormat="1" applyFont="1" applyFill="1" applyBorder="1" applyAlignment="1">
      <alignment horizontal="left" vertical="center"/>
    </xf>
    <xf numFmtId="0" fontId="20" fillId="0" borderId="0" xfId="1" applyNumberFormat="1" applyFont="1" applyAlignment="1">
      <alignment horizontal="left" vertical="center"/>
    </xf>
    <xf numFmtId="0" fontId="19" fillId="0" borderId="0" xfId="3" applyFont="1" applyAlignment="1">
      <alignment horizontal="left" vertical="center"/>
    </xf>
    <xf numFmtId="0" fontId="20" fillId="0" borderId="0" xfId="0" applyFont="1" applyAlignment="1">
      <alignment horizontal="left" vertical="center"/>
    </xf>
    <xf numFmtId="0" fontId="20" fillId="0" borderId="0" xfId="3" applyFont="1" applyAlignment="1">
      <alignment horizontal="left" vertical="center"/>
    </xf>
    <xf numFmtId="0" fontId="10" fillId="0" borderId="0" xfId="1" applyNumberFormat="1" applyFont="1" applyFill="1" applyAlignment="1">
      <alignment horizontal="center" vertical="center"/>
    </xf>
    <xf numFmtId="0" fontId="19" fillId="0" borderId="0" xfId="1" applyNumberFormat="1" applyFont="1" applyFill="1" applyAlignment="1">
      <alignment horizontal="left" vertical="center"/>
    </xf>
    <xf numFmtId="0" fontId="8" fillId="0" borderId="0" xfId="1" applyNumberFormat="1" applyFont="1" applyFill="1" applyAlignment="1">
      <alignment horizontal="left" vertical="center"/>
    </xf>
    <xf numFmtId="0" fontId="19" fillId="0" borderId="0" xfId="1" applyNumberFormat="1" applyFont="1" applyAlignment="1">
      <alignment vertical="center"/>
    </xf>
    <xf numFmtId="0" fontId="19" fillId="0" borderId="0" xfId="6" quotePrefix="1" applyFont="1" applyAlignment="1">
      <alignment horizontal="left" vertical="center"/>
    </xf>
    <xf numFmtId="0" fontId="10" fillId="0" borderId="63" xfId="0" applyFont="1" applyBorder="1" applyAlignment="1">
      <alignment horizontal="left" vertical="center"/>
    </xf>
    <xf numFmtId="0" fontId="10" fillId="0" borderId="63" xfId="0" applyFont="1" applyBorder="1" applyAlignment="1">
      <alignment horizontal="left" vertical="center" wrapText="1"/>
    </xf>
    <xf numFmtId="0" fontId="12" fillId="0" borderId="0" xfId="0" applyFont="1" applyAlignment="1">
      <alignment horizontal="justify" vertical="center"/>
    </xf>
    <xf numFmtId="0" fontId="8" fillId="0" borderId="42" xfId="4" applyNumberFormat="1" applyFont="1" applyFill="1" applyBorder="1" applyAlignment="1" applyProtection="1">
      <alignment horizontal="left" vertical="center"/>
    </xf>
    <xf numFmtId="43" fontId="10" fillId="0" borderId="54" xfId="1" applyFont="1" applyFill="1" applyBorder="1" applyAlignment="1" applyProtection="1">
      <alignment horizontal="right" vertical="center"/>
    </xf>
    <xf numFmtId="43" fontId="10" fillId="0" borderId="20" xfId="1" applyFont="1" applyFill="1" applyBorder="1" applyAlignment="1" applyProtection="1">
      <alignment horizontal="right" vertical="center"/>
    </xf>
    <xf numFmtId="0" fontId="10" fillId="0" borderId="16" xfId="4" applyNumberFormat="1" applyFont="1" applyFill="1" applyBorder="1" applyAlignment="1" applyProtection="1">
      <alignment horizontal="left" vertical="center"/>
    </xf>
    <xf numFmtId="0" fontId="8" fillId="0" borderId="28" xfId="4" applyNumberFormat="1" applyFont="1" applyFill="1" applyBorder="1" applyAlignment="1">
      <alignment vertical="center"/>
    </xf>
    <xf numFmtId="0" fontId="10" fillId="0" borderId="43" xfId="4" applyNumberFormat="1" applyFont="1" applyFill="1" applyBorder="1" applyAlignment="1">
      <alignment vertical="center"/>
    </xf>
    <xf numFmtId="0" fontId="9" fillId="0" borderId="43" xfId="4" applyNumberFormat="1" applyFont="1" applyFill="1" applyBorder="1" applyAlignment="1">
      <alignment vertical="center"/>
    </xf>
    <xf numFmtId="0" fontId="8" fillId="0" borderId="43" xfId="4" applyNumberFormat="1" applyFont="1" applyFill="1" applyBorder="1" applyAlignment="1">
      <alignment vertical="center"/>
    </xf>
    <xf numFmtId="0" fontId="10" fillId="0" borderId="45" xfId="4" applyNumberFormat="1" applyFont="1" applyFill="1" applyBorder="1" applyAlignment="1">
      <alignment vertical="center"/>
    </xf>
    <xf numFmtId="0" fontId="8" fillId="0" borderId="44" xfId="4" applyNumberFormat="1" applyFont="1" applyFill="1" applyBorder="1" applyAlignment="1">
      <alignment vertical="center"/>
    </xf>
    <xf numFmtId="43" fontId="10" fillId="0" borderId="11" xfId="1" applyFont="1" applyFill="1" applyBorder="1" applyAlignment="1">
      <alignment vertical="center"/>
    </xf>
    <xf numFmtId="167" fontId="10" fillId="0" borderId="11" xfId="1" applyNumberFormat="1" applyFont="1" applyFill="1" applyBorder="1" applyAlignment="1">
      <alignment vertical="center"/>
    </xf>
    <xf numFmtId="43" fontId="8" fillId="0" borderId="12" xfId="1" applyFont="1" applyFill="1" applyBorder="1" applyAlignment="1">
      <alignment vertical="center"/>
    </xf>
    <xf numFmtId="43" fontId="8" fillId="0" borderId="11" xfId="1" applyFont="1" applyFill="1" applyBorder="1" applyAlignment="1">
      <alignment vertical="center"/>
    </xf>
    <xf numFmtId="43" fontId="10" fillId="0" borderId="30" xfId="1" applyFont="1" applyFill="1" applyBorder="1" applyAlignment="1">
      <alignment vertical="center"/>
    </xf>
    <xf numFmtId="0" fontId="10" fillId="0" borderId="0" xfId="0" applyFont="1" applyAlignment="1">
      <alignment vertical="top"/>
    </xf>
    <xf numFmtId="10" fontId="10" fillId="0" borderId="0" xfId="2" applyNumberFormat="1" applyFont="1" applyAlignment="1">
      <alignment horizontal="left" vertical="center"/>
    </xf>
    <xf numFmtId="43" fontId="8" fillId="0" borderId="39" xfId="1" applyFont="1" applyFill="1" applyBorder="1" applyAlignment="1">
      <alignment vertical="center"/>
    </xf>
    <xf numFmtId="43" fontId="10" fillId="0" borderId="15" xfId="1" applyFont="1" applyFill="1" applyBorder="1" applyAlignment="1">
      <alignment horizontal="right" vertical="center"/>
    </xf>
    <xf numFmtId="43" fontId="10" fillId="0" borderId="33" xfId="1" applyFont="1" applyFill="1" applyBorder="1" applyAlignment="1">
      <alignment horizontal="right" vertical="center"/>
    </xf>
    <xf numFmtId="43" fontId="10" fillId="0" borderId="0" xfId="1" applyFont="1" applyFill="1" applyBorder="1" applyAlignment="1">
      <alignment horizontal="right" vertical="center"/>
    </xf>
    <xf numFmtId="0" fontId="14" fillId="0" borderId="0" xfId="0" applyFont="1" applyAlignment="1">
      <alignment horizontal="left" vertical="center"/>
    </xf>
    <xf numFmtId="0" fontId="8" fillId="0" borderId="18" xfId="0" applyFont="1" applyBorder="1" applyAlignment="1">
      <alignment horizontal="center" vertical="center"/>
    </xf>
    <xf numFmtId="43" fontId="8" fillId="0" borderId="72" xfId="1" applyFont="1" applyFill="1" applyBorder="1" applyAlignment="1">
      <alignment vertical="center"/>
    </xf>
    <xf numFmtId="43" fontId="8" fillId="0" borderId="0" xfId="1" applyFont="1" applyFill="1" applyBorder="1" applyAlignment="1">
      <alignment vertical="center"/>
    </xf>
    <xf numFmtId="0" fontId="10" fillId="0" borderId="29" xfId="0" applyFont="1" applyBorder="1" applyAlignment="1">
      <alignment horizontal="center" vertical="center"/>
    </xf>
    <xf numFmtId="43" fontId="8" fillId="0" borderId="40" xfId="1" applyFont="1" applyFill="1" applyBorder="1" applyAlignment="1">
      <alignment vertical="center"/>
    </xf>
    <xf numFmtId="43" fontId="10" fillId="0" borderId="11" xfId="1" applyFont="1" applyFill="1" applyBorder="1" applyAlignment="1">
      <alignment horizontal="center" vertical="center"/>
    </xf>
    <xf numFmtId="0" fontId="8" fillId="0" borderId="25" xfId="0" applyFont="1" applyBorder="1" applyAlignment="1">
      <alignment horizontal="center" vertical="center"/>
    </xf>
    <xf numFmtId="0" fontId="10" fillId="0" borderId="11" xfId="0" applyFont="1" applyBorder="1" applyAlignment="1">
      <alignment horizontal="center" vertical="center"/>
    </xf>
    <xf numFmtId="0" fontId="10" fillId="0" borderId="25" xfId="0" applyFont="1" applyBorder="1" applyAlignment="1">
      <alignment horizontal="center" vertical="center"/>
    </xf>
    <xf numFmtId="0" fontId="8" fillId="0" borderId="18" xfId="4" applyNumberFormat="1" applyFont="1" applyFill="1" applyBorder="1" applyAlignment="1">
      <alignment horizontal="center" vertical="center" wrapText="1"/>
    </xf>
    <xf numFmtId="0" fontId="8" fillId="0" borderId="33" xfId="4" applyNumberFormat="1" applyFont="1" applyFill="1" applyBorder="1" applyAlignment="1">
      <alignment horizontal="center" vertical="center" wrapText="1"/>
    </xf>
    <xf numFmtId="0" fontId="8" fillId="0" borderId="31" xfId="4" applyNumberFormat="1" applyFont="1" applyFill="1" applyBorder="1" applyAlignment="1">
      <alignment horizontal="center" vertical="center" wrapText="1"/>
    </xf>
    <xf numFmtId="43" fontId="8" fillId="0" borderId="18" xfId="1" applyFont="1" applyFill="1" applyBorder="1" applyAlignment="1">
      <alignment horizontal="right" vertical="center"/>
    </xf>
    <xf numFmtId="43" fontId="8" fillId="0" borderId="14" xfId="1" applyFont="1" applyFill="1" applyBorder="1" applyAlignment="1">
      <alignment horizontal="right" vertical="center"/>
    </xf>
    <xf numFmtId="43" fontId="8" fillId="0" borderId="6" xfId="1" applyFont="1" applyFill="1" applyBorder="1" applyAlignment="1">
      <alignment horizontal="right" vertical="center"/>
    </xf>
    <xf numFmtId="43" fontId="10" fillId="0" borderId="5" xfId="1" applyFont="1" applyFill="1" applyBorder="1" applyAlignment="1">
      <alignment vertical="center"/>
    </xf>
    <xf numFmtId="43" fontId="10" fillId="0" borderId="38" xfId="1" applyFont="1" applyFill="1" applyBorder="1" applyAlignment="1">
      <alignment vertical="center"/>
    </xf>
    <xf numFmtId="43" fontId="8" fillId="0" borderId="16" xfId="1" applyFont="1" applyFill="1" applyBorder="1" applyAlignment="1">
      <alignment horizontal="right" vertical="center"/>
    </xf>
    <xf numFmtId="0" fontId="10" fillId="0" borderId="0" xfId="6" applyFont="1" applyAlignment="1">
      <alignment horizontal="left" vertical="center"/>
    </xf>
    <xf numFmtId="0" fontId="8" fillId="0" borderId="18" xfId="1" applyNumberFormat="1" applyFont="1" applyFill="1" applyBorder="1" applyAlignment="1">
      <alignment horizontal="center" vertical="center"/>
    </xf>
    <xf numFmtId="0" fontId="8" fillId="0" borderId="14" xfId="1" applyNumberFormat="1" applyFont="1" applyFill="1" applyBorder="1" applyAlignment="1">
      <alignment horizontal="center" vertical="center"/>
    </xf>
    <xf numFmtId="0" fontId="8" fillId="0" borderId="6" xfId="1" applyNumberFormat="1" applyFont="1" applyFill="1" applyBorder="1" applyAlignment="1">
      <alignment horizontal="center" vertical="center"/>
    </xf>
    <xf numFmtId="43" fontId="10" fillId="0" borderId="39" xfId="1" applyFont="1" applyFill="1" applyBorder="1" applyAlignment="1">
      <alignment vertical="center"/>
    </xf>
    <xf numFmtId="43" fontId="10" fillId="0" borderId="40" xfId="1" applyFont="1" applyFill="1" applyBorder="1" applyAlignment="1">
      <alignment vertical="center"/>
    </xf>
    <xf numFmtId="10" fontId="10" fillId="0" borderId="11" xfId="2" applyNumberFormat="1" applyFont="1" applyFill="1" applyBorder="1" applyAlignment="1">
      <alignment horizontal="right" vertical="center"/>
    </xf>
    <xf numFmtId="10" fontId="10" fillId="0" borderId="0" xfId="2" applyNumberFormat="1" applyFont="1" applyFill="1" applyAlignment="1">
      <alignment vertical="center"/>
    </xf>
    <xf numFmtId="0" fontId="8" fillId="0" borderId="18" xfId="6" applyFont="1" applyBorder="1" applyAlignment="1">
      <alignment horizontal="center" vertical="center" wrapText="1"/>
    </xf>
    <xf numFmtId="0" fontId="8" fillId="0" borderId="18" xfId="6" applyFont="1" applyBorder="1" applyAlignment="1">
      <alignment horizontal="center" vertical="center"/>
    </xf>
    <xf numFmtId="10" fontId="10" fillId="0" borderId="15" xfId="2" applyNumberFormat="1" applyFont="1" applyFill="1" applyBorder="1" applyAlignment="1">
      <alignment horizontal="right" vertical="center"/>
    </xf>
    <xf numFmtId="10" fontId="10" fillId="0" borderId="1" xfId="2" applyNumberFormat="1" applyFont="1" applyFill="1" applyBorder="1" applyAlignment="1">
      <alignment horizontal="right" vertical="center"/>
    </xf>
    <xf numFmtId="0" fontId="10" fillId="0" borderId="30" xfId="0" applyFont="1" applyBorder="1" applyAlignment="1">
      <alignment horizontal="left" vertical="center"/>
    </xf>
    <xf numFmtId="10" fontId="10" fillId="0" borderId="33" xfId="2" applyNumberFormat="1" applyFont="1" applyFill="1" applyBorder="1" applyAlignment="1">
      <alignment horizontal="right" vertical="center"/>
    </xf>
    <xf numFmtId="10" fontId="10" fillId="0" borderId="33" xfId="1" applyNumberFormat="1" applyFont="1" applyFill="1" applyBorder="1" applyAlignment="1">
      <alignment horizontal="right" vertical="center"/>
    </xf>
    <xf numFmtId="10" fontId="10" fillId="0" borderId="31" xfId="2" applyNumberFormat="1" applyFont="1" applyFill="1" applyBorder="1" applyAlignment="1">
      <alignment horizontal="right" vertical="center"/>
    </xf>
    <xf numFmtId="0" fontId="10" fillId="0" borderId="9" xfId="6" applyFont="1" applyBorder="1" applyAlignment="1">
      <alignment horizontal="center" vertical="center"/>
    </xf>
    <xf numFmtId="0" fontId="10" fillId="0" borderId="12" xfId="6" applyFont="1" applyBorder="1" applyAlignment="1">
      <alignment horizontal="left" vertical="center"/>
    </xf>
    <xf numFmtId="10" fontId="10" fillId="0" borderId="16" xfId="2" applyNumberFormat="1" applyFont="1" applyFill="1" applyBorder="1" applyAlignment="1">
      <alignment horizontal="right" vertical="center"/>
    </xf>
    <xf numFmtId="10" fontId="10" fillId="0" borderId="16" xfId="1" applyNumberFormat="1" applyFont="1" applyFill="1" applyBorder="1" applyAlignment="1">
      <alignment horizontal="right" vertical="center"/>
    </xf>
    <xf numFmtId="10" fontId="10" fillId="0" borderId="2" xfId="2" applyNumberFormat="1" applyFont="1" applyFill="1" applyBorder="1" applyAlignment="1">
      <alignment horizontal="right" vertical="center"/>
    </xf>
    <xf numFmtId="0" fontId="10" fillId="0" borderId="40" xfId="0" applyFont="1" applyBorder="1" applyAlignment="1">
      <alignment vertical="center"/>
    </xf>
    <xf numFmtId="0" fontId="10" fillId="0" borderId="0" xfId="6" applyFont="1" applyAlignment="1">
      <alignment horizontal="center" vertical="center"/>
    </xf>
    <xf numFmtId="168" fontId="10" fillId="0" borderId="0" xfId="2" applyNumberFormat="1" applyFont="1" applyFill="1" applyBorder="1" applyAlignment="1">
      <alignment horizontal="right" vertical="center"/>
    </xf>
    <xf numFmtId="10" fontId="10" fillId="0" borderId="0" xfId="1" applyNumberFormat="1" applyFont="1" applyFill="1" applyBorder="1" applyAlignment="1">
      <alignment horizontal="right" vertical="center"/>
    </xf>
    <xf numFmtId="10" fontId="10" fillId="0" borderId="0" xfId="2" applyNumberFormat="1" applyFont="1" applyFill="1" applyBorder="1" applyAlignment="1">
      <alignment horizontal="right" vertical="center"/>
    </xf>
    <xf numFmtId="165" fontId="8" fillId="0" borderId="0" xfId="3" applyNumberFormat="1" applyFont="1" applyAlignment="1">
      <alignment vertical="center"/>
    </xf>
    <xf numFmtId="166" fontId="10" fillId="0" borderId="0" xfId="1" applyNumberFormat="1" applyFont="1" applyFill="1" applyBorder="1" applyAlignment="1">
      <alignment vertical="center"/>
    </xf>
    <xf numFmtId="43" fontId="10" fillId="0" borderId="0" xfId="1" applyFont="1" applyFill="1" applyBorder="1" applyAlignment="1">
      <alignment vertical="center"/>
    </xf>
    <xf numFmtId="43" fontId="8" fillId="0" borderId="39" xfId="1" applyFont="1" applyFill="1" applyBorder="1" applyAlignment="1">
      <alignment horizontal="right" vertical="center"/>
    </xf>
    <xf numFmtId="43" fontId="10" fillId="0" borderId="37" xfId="1" applyFont="1" applyFill="1" applyBorder="1" applyAlignment="1">
      <alignment horizontal="right" vertical="center"/>
    </xf>
    <xf numFmtId="43" fontId="8" fillId="0" borderId="0" xfId="1" applyFont="1" applyFill="1" applyAlignment="1">
      <alignment horizontal="right" vertical="center"/>
    </xf>
    <xf numFmtId="43" fontId="8" fillId="0" borderId="0" xfId="1" applyFont="1" applyFill="1" applyBorder="1" applyAlignment="1">
      <alignment horizontal="right" vertical="center"/>
    </xf>
    <xf numFmtId="43" fontId="8" fillId="0" borderId="0" xfId="0" applyNumberFormat="1" applyFont="1" applyAlignment="1">
      <alignment horizontal="left" vertical="center"/>
    </xf>
    <xf numFmtId="43" fontId="10" fillId="0" borderId="0" xfId="2" applyNumberFormat="1" applyFont="1" applyAlignment="1">
      <alignment horizontal="left" vertical="center"/>
    </xf>
    <xf numFmtId="0" fontId="8" fillId="0" borderId="4" xfId="0" applyFont="1" applyBorder="1" applyAlignment="1">
      <alignment horizontal="center" vertical="center" wrapText="1"/>
    </xf>
    <xf numFmtId="0" fontId="10" fillId="0" borderId="15" xfId="0" applyFont="1" applyBorder="1" applyAlignment="1">
      <alignment horizontal="left" vertical="center"/>
    </xf>
    <xf numFmtId="0" fontId="8" fillId="0" borderId="15" xfId="0" applyFont="1" applyBorder="1" applyAlignment="1">
      <alignment horizontal="left" vertical="center"/>
    </xf>
    <xf numFmtId="0" fontId="10" fillId="0" borderId="16" xfId="0" applyFont="1" applyBorder="1" applyAlignment="1">
      <alignment horizontal="left" vertical="center"/>
    </xf>
    <xf numFmtId="0" fontId="8" fillId="0" borderId="24" xfId="0" applyFont="1" applyBorder="1" applyAlignment="1">
      <alignment horizontal="left" vertical="center"/>
    </xf>
    <xf numFmtId="43" fontId="8" fillId="0" borderId="39" xfId="0" applyNumberFormat="1" applyFont="1" applyBorder="1" applyAlignment="1">
      <alignment vertical="center"/>
    </xf>
    <xf numFmtId="43" fontId="8" fillId="0" borderId="0" xfId="0" applyNumberFormat="1" applyFont="1" applyAlignment="1">
      <alignment vertical="center"/>
    </xf>
    <xf numFmtId="0" fontId="8" fillId="0" borderId="23" xfId="0" applyFont="1" applyBorder="1" applyAlignment="1">
      <alignment horizontal="left" vertical="center"/>
    </xf>
    <xf numFmtId="0" fontId="9" fillId="0" borderId="0" xfId="0" applyFont="1" applyAlignment="1">
      <alignment vertical="center"/>
    </xf>
    <xf numFmtId="0" fontId="8" fillId="0" borderId="8" xfId="0" applyFont="1" applyBorder="1" applyAlignment="1">
      <alignment horizontal="center" vertical="center"/>
    </xf>
    <xf numFmtId="166" fontId="10" fillId="0" borderId="0" xfId="0" applyNumberFormat="1" applyFont="1" applyAlignment="1">
      <alignment vertical="center"/>
    </xf>
    <xf numFmtId="0" fontId="8" fillId="0" borderId="0" xfId="3" applyFont="1" applyAlignment="1">
      <alignment vertical="center"/>
    </xf>
    <xf numFmtId="43" fontId="8" fillId="0" borderId="17" xfId="1" applyFont="1" applyFill="1" applyBorder="1" applyAlignment="1">
      <alignment horizontal="center" vertical="center" wrapText="1"/>
    </xf>
    <xf numFmtId="43" fontId="8" fillId="0" borderId="4" xfId="1" applyFont="1" applyFill="1" applyBorder="1" applyAlignment="1">
      <alignment horizontal="center" vertical="center" wrapText="1"/>
    </xf>
    <xf numFmtId="43" fontId="10" fillId="0" borderId="1" xfId="1" applyFont="1" applyFill="1" applyBorder="1" applyAlignment="1">
      <alignment vertical="center"/>
    </xf>
    <xf numFmtId="43" fontId="8" fillId="0" borderId="25" xfId="1" applyFont="1" applyFill="1" applyBorder="1" applyAlignment="1">
      <alignment vertical="center"/>
    </xf>
    <xf numFmtId="43" fontId="8" fillId="0" borderId="26" xfId="1" applyFont="1" applyFill="1" applyBorder="1" applyAlignment="1">
      <alignment vertical="center"/>
    </xf>
    <xf numFmtId="43" fontId="10" fillId="0" borderId="12" xfId="1" applyFont="1" applyFill="1" applyBorder="1" applyAlignment="1">
      <alignment vertical="center"/>
    </xf>
    <xf numFmtId="43" fontId="10" fillId="0" borderId="2" xfId="1" applyFont="1" applyFill="1" applyBorder="1" applyAlignment="1">
      <alignment vertical="center"/>
    </xf>
    <xf numFmtId="0" fontId="8" fillId="0" borderId="7" xfId="0" applyFont="1" applyBorder="1" applyAlignment="1">
      <alignment horizontal="center" vertical="center"/>
    </xf>
    <xf numFmtId="0" fontId="10" fillId="0" borderId="24" xfId="0" applyFont="1" applyBorder="1" applyAlignment="1">
      <alignment horizontal="center" vertical="center"/>
    </xf>
    <xf numFmtId="0" fontId="8" fillId="0" borderId="15" xfId="0" applyFont="1" applyBorder="1" applyAlignment="1">
      <alignment horizontal="center" vertical="center"/>
    </xf>
    <xf numFmtId="43" fontId="10" fillId="0" borderId="72" xfId="1" applyFont="1" applyFill="1" applyBorder="1" applyAlignment="1">
      <alignment vertical="center"/>
    </xf>
    <xf numFmtId="43" fontId="10" fillId="0" borderId="70" xfId="1" applyFont="1" applyFill="1" applyBorder="1" applyAlignment="1">
      <alignment vertical="center"/>
    </xf>
    <xf numFmtId="0" fontId="10" fillId="0" borderId="15" xfId="4" applyNumberFormat="1" applyFont="1" applyFill="1" applyBorder="1" applyAlignment="1" applyProtection="1">
      <alignment horizontal="left" vertical="center"/>
    </xf>
    <xf numFmtId="0" fontId="8" fillId="0" borderId="15" xfId="4" applyNumberFormat="1" applyFont="1" applyFill="1" applyBorder="1" applyAlignment="1" applyProtection="1">
      <alignment horizontal="left" vertical="center"/>
    </xf>
    <xf numFmtId="0" fontId="8" fillId="0" borderId="13" xfId="1" applyNumberFormat="1" applyFont="1" applyFill="1" applyBorder="1" applyAlignment="1" applyProtection="1">
      <alignment horizontal="center" vertical="center" wrapText="1"/>
    </xf>
    <xf numFmtId="0" fontId="8" fillId="0" borderId="4" xfId="1" applyNumberFormat="1" applyFont="1" applyFill="1" applyBorder="1" applyAlignment="1" applyProtection="1">
      <alignment horizontal="center" vertical="center" wrapText="1"/>
    </xf>
    <xf numFmtId="0" fontId="8" fillId="0" borderId="4" xfId="1" applyNumberFormat="1" applyFont="1" applyFill="1" applyBorder="1" applyAlignment="1">
      <alignment horizontal="center" vertical="center" wrapText="1"/>
    </xf>
    <xf numFmtId="0" fontId="8" fillId="0" borderId="0" xfId="1" applyNumberFormat="1" applyFont="1" applyFill="1" applyBorder="1" applyAlignment="1">
      <alignment vertical="center"/>
    </xf>
    <xf numFmtId="0" fontId="8" fillId="0" borderId="0" xfId="1" applyNumberFormat="1" applyFont="1" applyFill="1" applyBorder="1" applyAlignment="1" applyProtection="1">
      <alignment horizontal="right" vertical="center"/>
    </xf>
    <xf numFmtId="43" fontId="10" fillId="0" borderId="0" xfId="1" applyFont="1" applyFill="1" applyBorder="1" applyAlignment="1">
      <alignment horizontal="center" vertical="center"/>
    </xf>
    <xf numFmtId="0" fontId="10" fillId="0" borderId="32" xfId="0" applyFont="1" applyBorder="1" applyAlignment="1">
      <alignment vertical="center"/>
    </xf>
    <xf numFmtId="0" fontId="10" fillId="0" borderId="0" xfId="4" applyNumberFormat="1" applyFont="1" applyFill="1" applyBorder="1" applyAlignment="1">
      <alignment horizontal="left" vertical="center"/>
    </xf>
    <xf numFmtId="0" fontId="8" fillId="0" borderId="0" xfId="4" applyNumberFormat="1" applyFont="1" applyFill="1" applyBorder="1" applyAlignment="1">
      <alignment horizontal="left" vertical="center"/>
    </xf>
    <xf numFmtId="0" fontId="7" fillId="0" borderId="0" xfId="0" applyFont="1" applyAlignment="1">
      <alignment horizontal="justify" vertical="center"/>
    </xf>
    <xf numFmtId="0" fontId="6" fillId="0" borderId="0" xfId="0" applyFont="1" applyAlignment="1">
      <alignment horizontal="left" vertical="center"/>
    </xf>
    <xf numFmtId="0" fontId="10" fillId="0" borderId="0" xfId="0" applyFont="1" applyAlignment="1">
      <alignment horizontal="justify" vertical="center" wrapText="1"/>
    </xf>
    <xf numFmtId="0" fontId="10" fillId="0" borderId="23" xfId="0" applyFont="1" applyBorder="1" applyAlignment="1">
      <alignment horizontal="center" vertical="center"/>
    </xf>
    <xf numFmtId="0" fontId="8" fillId="0" borderId="0" xfId="4" applyNumberFormat="1" applyFont="1" applyFill="1" applyBorder="1" applyAlignment="1">
      <alignment horizontal="center" vertical="center"/>
    </xf>
    <xf numFmtId="43" fontId="8" fillId="0" borderId="0" xfId="1" applyFont="1" applyFill="1" applyBorder="1" applyAlignment="1" applyProtection="1">
      <alignment horizontal="center" vertical="center"/>
    </xf>
    <xf numFmtId="0" fontId="10" fillId="0" borderId="9" xfId="0" applyFont="1" applyBorder="1" applyAlignment="1">
      <alignment horizontal="center" vertical="top"/>
    </xf>
    <xf numFmtId="0" fontId="10" fillId="0" borderId="0" xfId="0" applyFont="1" applyAlignment="1">
      <alignment horizontal="justify" vertical="center"/>
    </xf>
    <xf numFmtId="43" fontId="10" fillId="0" borderId="0" xfId="0" applyNumberFormat="1" applyFont="1" applyAlignment="1">
      <alignment horizontal="justify" vertical="center"/>
    </xf>
    <xf numFmtId="0" fontId="10" fillId="0" borderId="9" xfId="0" applyFont="1" applyBorder="1" applyAlignment="1">
      <alignment horizontal="justify" vertical="center"/>
    </xf>
    <xf numFmtId="43" fontId="10" fillId="0" borderId="0" xfId="1" applyFont="1" applyAlignment="1">
      <alignment horizontal="justify" vertical="center"/>
    </xf>
    <xf numFmtId="167" fontId="10" fillId="0" borderId="0" xfId="0" applyNumberFormat="1" applyFont="1" applyAlignment="1">
      <alignment horizontal="right" vertical="center"/>
    </xf>
    <xf numFmtId="43" fontId="8" fillId="0" borderId="70" xfId="0" applyNumberFormat="1" applyFont="1" applyBorder="1" applyAlignment="1">
      <alignment horizontal="justify" vertical="center"/>
    </xf>
    <xf numFmtId="0" fontId="10" fillId="0" borderId="59" xfId="0" applyFont="1" applyBorder="1" applyAlignment="1">
      <alignment vertical="center"/>
    </xf>
    <xf numFmtId="0" fontId="10" fillId="0" borderId="15" xfId="0" applyFont="1" applyBorder="1" applyAlignment="1">
      <alignment vertical="center"/>
    </xf>
    <xf numFmtId="43" fontId="10" fillId="0" borderId="0" xfId="1" applyFont="1" applyBorder="1" applyAlignment="1">
      <alignment horizontal="center" vertical="center"/>
    </xf>
    <xf numFmtId="0" fontId="10" fillId="0" borderId="0" xfId="1" applyNumberFormat="1" applyFont="1" applyAlignment="1">
      <alignment horizontal="justify" vertical="center"/>
    </xf>
    <xf numFmtId="169" fontId="10" fillId="0" borderId="0" xfId="0" applyNumberFormat="1" applyFont="1" applyAlignment="1">
      <alignment horizontal="justify" vertical="center"/>
    </xf>
    <xf numFmtId="0" fontId="10" fillId="0" borderId="7" xfId="4" applyNumberFormat="1" applyFont="1" applyFill="1" applyBorder="1" applyAlignment="1">
      <alignment horizontal="center" vertical="center"/>
    </xf>
    <xf numFmtId="0" fontId="8" fillId="0" borderId="23" xfId="0" applyFont="1" applyBorder="1" applyAlignment="1">
      <alignment horizontal="justify" vertical="center"/>
    </xf>
    <xf numFmtId="0" fontId="10" fillId="0" borderId="0" xfId="0" applyFont="1" applyAlignment="1">
      <alignment horizontal="justify" vertical="top"/>
    </xf>
    <xf numFmtId="10" fontId="10" fillId="0" borderId="0" xfId="2" applyNumberFormat="1" applyFont="1" applyAlignment="1">
      <alignment horizontal="justify" vertical="center"/>
    </xf>
    <xf numFmtId="0" fontId="10" fillId="0" borderId="18" xfId="0" applyFont="1" applyBorder="1" applyAlignment="1">
      <alignment horizontal="center" vertical="center"/>
    </xf>
    <xf numFmtId="0" fontId="10" fillId="0" borderId="63" xfId="0" applyFont="1" applyBorder="1" applyAlignment="1">
      <alignment horizontal="center" vertical="center"/>
    </xf>
    <xf numFmtId="0" fontId="10" fillId="0" borderId="64" xfId="0" applyFont="1" applyBorder="1" applyAlignment="1">
      <alignment horizontal="center" vertical="center"/>
    </xf>
    <xf numFmtId="0" fontId="10" fillId="0" borderId="0" xfId="0" applyFont="1" applyAlignment="1">
      <alignment horizontal="center" vertical="center" wrapText="1"/>
    </xf>
    <xf numFmtId="2" fontId="8" fillId="0" borderId="0" xfId="0" applyNumberFormat="1" applyFont="1" applyAlignment="1">
      <alignment horizontal="left" vertical="center"/>
    </xf>
    <xf numFmtId="0" fontId="10" fillId="0" borderId="43" xfId="4" applyNumberFormat="1" applyFont="1" applyFill="1" applyBorder="1" applyAlignment="1" applyProtection="1">
      <alignment horizontal="left" vertical="center"/>
    </xf>
    <xf numFmtId="43" fontId="8" fillId="0" borderId="70" xfId="0" applyNumberFormat="1" applyFont="1" applyBorder="1" applyAlignment="1">
      <alignment vertical="center"/>
    </xf>
    <xf numFmtId="0" fontId="10" fillId="0" borderId="43" xfId="0" applyFont="1" applyBorder="1" applyAlignment="1">
      <alignment horizontal="left" vertical="center"/>
    </xf>
    <xf numFmtId="0" fontId="10" fillId="0" borderId="9" xfId="0" applyFont="1" applyBorder="1" applyAlignment="1">
      <alignment horizontal="left" vertical="center"/>
    </xf>
    <xf numFmtId="0" fontId="10" fillId="0" borderId="29" xfId="0" applyFont="1" applyBorder="1" applyAlignment="1">
      <alignment horizontal="left" vertical="center"/>
    </xf>
    <xf numFmtId="10" fontId="10" fillId="0" borderId="0" xfId="0" applyNumberFormat="1" applyFont="1" applyAlignment="1">
      <alignment vertical="center"/>
    </xf>
    <xf numFmtId="0" fontId="23" fillId="0" borderId="0" xfId="0" applyFont="1" applyAlignment="1">
      <alignment horizontal="justify" vertical="center" wrapText="1"/>
    </xf>
    <xf numFmtId="0" fontId="22" fillId="0" borderId="0" xfId="0" applyFont="1" applyAlignment="1">
      <alignment vertical="center"/>
    </xf>
    <xf numFmtId="0" fontId="10" fillId="0" borderId="11" xfId="0" applyFont="1" applyBorder="1" applyAlignment="1">
      <alignment vertical="center"/>
    </xf>
    <xf numFmtId="0" fontId="10" fillId="0" borderId="8" xfId="0" applyFont="1" applyBorder="1" applyAlignment="1">
      <alignment vertical="center"/>
    </xf>
    <xf numFmtId="43" fontId="8" fillId="0" borderId="25" xfId="0" applyNumberFormat="1" applyFont="1" applyBorder="1" applyAlignment="1">
      <alignment vertical="center"/>
    </xf>
    <xf numFmtId="43" fontId="8" fillId="0" borderId="26" xfId="0" applyNumberFormat="1" applyFont="1" applyBorder="1" applyAlignment="1">
      <alignment vertical="center"/>
    </xf>
    <xf numFmtId="0" fontId="10" fillId="0" borderId="12" xfId="0" applyFont="1" applyBorder="1" applyAlignment="1">
      <alignment vertical="center"/>
    </xf>
    <xf numFmtId="0" fontId="10" fillId="0" borderId="2" xfId="0" applyFont="1" applyBorder="1" applyAlignment="1">
      <alignment vertical="center"/>
    </xf>
    <xf numFmtId="49" fontId="10" fillId="0" borderId="11" xfId="0" applyNumberFormat="1" applyFont="1" applyBorder="1" applyAlignment="1">
      <alignment vertical="center"/>
    </xf>
    <xf numFmtId="0" fontId="8" fillId="0" borderId="12" xfId="0" applyFont="1" applyBorder="1" applyAlignment="1">
      <alignment horizontal="center" vertical="center"/>
    </xf>
    <xf numFmtId="0" fontId="9" fillId="0" borderId="0" xfId="0" applyFont="1" applyAlignment="1">
      <alignment horizontal="left" vertical="center"/>
    </xf>
    <xf numFmtId="0" fontId="8" fillId="0" borderId="17" xfId="7" applyFont="1" applyBorder="1" applyAlignment="1">
      <alignment horizontal="center" vertical="center"/>
    </xf>
    <xf numFmtId="0" fontId="8" fillId="0" borderId="15" xfId="6" applyFont="1" applyBorder="1" applyAlignment="1">
      <alignment horizontal="left" vertical="center"/>
    </xf>
    <xf numFmtId="0" fontId="8" fillId="0" borderId="52" xfId="0" applyFont="1" applyBorder="1" applyAlignment="1">
      <alignment horizontal="center" vertical="center"/>
    </xf>
    <xf numFmtId="0" fontId="8" fillId="0" borderId="17" xfId="3" applyFont="1" applyBorder="1" applyAlignment="1">
      <alignment horizontal="center" vertical="center"/>
    </xf>
    <xf numFmtId="0" fontId="10" fillId="0" borderId="11" xfId="3" applyFont="1" applyBorder="1" applyAlignment="1">
      <alignment horizontal="left" vertical="center"/>
    </xf>
    <xf numFmtId="0" fontId="8" fillId="0" borderId="11" xfId="3" applyFont="1" applyBorder="1" applyAlignment="1">
      <alignment horizontal="center" vertical="center"/>
    </xf>
    <xf numFmtId="0" fontId="8" fillId="0" borderId="11" xfId="3" applyFont="1" applyBorder="1" applyAlignment="1">
      <alignment horizontal="left" vertical="center"/>
    </xf>
    <xf numFmtId="0" fontId="10" fillId="0" borderId="30" xfId="3" applyFont="1" applyBorder="1" applyAlignment="1">
      <alignment horizontal="left" vertical="center"/>
    </xf>
    <xf numFmtId="0" fontId="8" fillId="0" borderId="12" xfId="3" applyFont="1" applyBorder="1" applyAlignment="1">
      <alignment horizontal="center" vertical="center"/>
    </xf>
    <xf numFmtId="0" fontId="10" fillId="0" borderId="11" xfId="7" applyFont="1" applyBorder="1" applyAlignment="1">
      <alignment horizontal="left" vertical="center"/>
    </xf>
    <xf numFmtId="0" fontId="10" fillId="0" borderId="30" xfId="7" applyFont="1" applyBorder="1" applyAlignment="1">
      <alignment horizontal="left" vertical="center"/>
    </xf>
    <xf numFmtId="0" fontId="8" fillId="0" borderId="12" xfId="7" applyFont="1" applyBorder="1" applyAlignment="1">
      <alignment horizontal="center" vertical="center"/>
    </xf>
    <xf numFmtId="0" fontId="10" fillId="0" borderId="0" xfId="7" applyFont="1" applyAlignment="1">
      <alignment horizontal="left" vertical="center"/>
    </xf>
    <xf numFmtId="0" fontId="8" fillId="0" borderId="11" xfId="6" applyFont="1" applyBorder="1" applyAlignment="1">
      <alignment horizontal="left" vertical="center"/>
    </xf>
    <xf numFmtId="0" fontId="10" fillId="0" borderId="11" xfId="6" applyFont="1" applyBorder="1" applyAlignment="1">
      <alignment horizontal="left" vertical="center"/>
    </xf>
    <xf numFmtId="0" fontId="10" fillId="0" borderId="30" xfId="6" applyFont="1" applyBorder="1" applyAlignment="1">
      <alignment horizontal="left" vertical="center"/>
    </xf>
    <xf numFmtId="43" fontId="8" fillId="0" borderId="40" xfId="0" applyNumberFormat="1" applyFont="1" applyBorder="1" applyAlignment="1">
      <alignment vertical="center"/>
    </xf>
    <xf numFmtId="0" fontId="10" fillId="0" borderId="47" xfId="0" applyFont="1" applyBorder="1" applyAlignment="1">
      <alignment horizontal="center" vertical="center"/>
    </xf>
    <xf numFmtId="0" fontId="8" fillId="0" borderId="12" xfId="6" applyFont="1" applyBorder="1" applyAlignment="1">
      <alignment horizontal="center" vertical="center"/>
    </xf>
    <xf numFmtId="43" fontId="24" fillId="0" borderId="18" xfId="1" applyFont="1" applyFill="1" applyBorder="1" applyAlignment="1">
      <alignment horizontal="right" vertical="center"/>
    </xf>
    <xf numFmtId="43" fontId="25" fillId="0" borderId="52" xfId="1" applyFont="1" applyFill="1" applyBorder="1" applyAlignment="1">
      <alignment horizontal="right" vertical="center"/>
    </xf>
    <xf numFmtId="43" fontId="25" fillId="0" borderId="64" xfId="1" applyFont="1" applyFill="1" applyBorder="1" applyAlignment="1">
      <alignment horizontal="right" vertical="center"/>
    </xf>
    <xf numFmtId="43" fontId="25" fillId="0" borderId="63" xfId="1" applyFont="1" applyFill="1" applyBorder="1" applyAlignment="1">
      <alignment horizontal="right" vertical="center"/>
    </xf>
    <xf numFmtId="0" fontId="8" fillId="0" borderId="18" xfId="3" applyFont="1" applyBorder="1" applyAlignment="1">
      <alignment horizontal="center" vertical="center" wrapText="1"/>
    </xf>
    <xf numFmtId="0" fontId="8" fillId="0" borderId="0" xfId="6" applyFont="1" applyAlignment="1">
      <alignment horizontal="left" vertical="center"/>
    </xf>
    <xf numFmtId="0" fontId="8" fillId="0" borderId="0" xfId="4" applyNumberFormat="1" applyFont="1" applyFill="1" applyBorder="1" applyAlignment="1">
      <alignment horizontal="justify" vertical="center"/>
    </xf>
    <xf numFmtId="0" fontId="20" fillId="0" borderId="18" xfId="0" applyFont="1" applyBorder="1" applyAlignment="1">
      <alignment horizontal="center" vertical="center" wrapText="1"/>
    </xf>
    <xf numFmtId="0" fontId="20" fillId="0" borderId="63" xfId="0" applyFont="1" applyBorder="1" applyAlignment="1">
      <alignment horizontal="center" vertical="center" wrapText="1"/>
    </xf>
    <xf numFmtId="0" fontId="10" fillId="0" borderId="0" xfId="1" applyNumberFormat="1" applyFont="1" applyFill="1" applyBorder="1" applyAlignment="1">
      <alignment vertical="center"/>
    </xf>
    <xf numFmtId="43" fontId="8" fillId="0" borderId="0" xfId="1" applyFont="1" applyFill="1" applyAlignment="1">
      <alignment vertical="center"/>
    </xf>
    <xf numFmtId="43" fontId="10" fillId="0" borderId="32" xfId="1" applyFont="1" applyFill="1" applyBorder="1" applyAlignment="1">
      <alignment vertical="center"/>
    </xf>
    <xf numFmtId="0" fontId="8" fillId="0" borderId="17" xfId="3" applyFont="1" applyBorder="1" applyAlignment="1">
      <alignment vertical="center" wrapText="1"/>
    </xf>
    <xf numFmtId="0" fontId="8" fillId="0" borderId="17" xfId="0" applyFont="1" applyBorder="1" applyAlignment="1">
      <alignment vertical="center" wrapText="1"/>
    </xf>
    <xf numFmtId="43" fontId="8" fillId="0" borderId="50" xfId="1" applyFont="1" applyFill="1" applyBorder="1" applyAlignment="1" applyProtection="1">
      <alignment horizontal="right" vertical="center"/>
    </xf>
    <xf numFmtId="43" fontId="8" fillId="0" borderId="40" xfId="1" applyFont="1" applyFill="1" applyBorder="1" applyAlignment="1" applyProtection="1">
      <alignment horizontal="right" vertical="center"/>
    </xf>
    <xf numFmtId="0" fontId="19" fillId="0" borderId="0" xfId="0" applyFont="1" applyAlignment="1">
      <alignment horizontal="left" vertical="center"/>
    </xf>
    <xf numFmtId="0" fontId="10" fillId="0" borderId="0" xfId="0" applyFont="1" applyAlignment="1">
      <alignment horizontal="left" vertical="center"/>
    </xf>
    <xf numFmtId="0" fontId="8" fillId="0" borderId="0" xfId="0" applyFont="1" applyAlignment="1">
      <alignment horizontal="left" vertical="center"/>
    </xf>
    <xf numFmtId="0" fontId="14" fillId="0" borderId="0" xfId="0" applyFont="1" applyAlignment="1">
      <alignment horizontal="left" vertical="center"/>
    </xf>
    <xf numFmtId="0" fontId="12" fillId="0" borderId="0" xfId="0" applyFont="1" applyAlignment="1">
      <alignment horizontal="left" vertical="center"/>
    </xf>
    <xf numFmtId="0" fontId="12" fillId="0" borderId="3" xfId="0" applyFont="1" applyBorder="1" applyAlignment="1">
      <alignment horizontal="center" vertical="center"/>
    </xf>
    <xf numFmtId="0" fontId="12" fillId="0" borderId="13" xfId="0" applyFont="1" applyBorder="1" applyAlignment="1">
      <alignment horizontal="center" vertical="center"/>
    </xf>
    <xf numFmtId="0" fontId="21" fillId="0" borderId="22" xfId="0" applyFont="1" applyBorder="1" applyAlignment="1">
      <alignment horizontal="right" vertical="center"/>
    </xf>
    <xf numFmtId="0" fontId="10" fillId="0" borderId="34" xfId="0" applyFont="1" applyBorder="1" applyAlignment="1">
      <alignment horizontal="left" vertical="center"/>
    </xf>
    <xf numFmtId="0" fontId="19" fillId="0" borderId="0" xfId="3" applyFont="1" applyAlignment="1">
      <alignment horizontal="left" vertical="center"/>
    </xf>
    <xf numFmtId="0" fontId="20" fillId="0" borderId="0" xfId="0" applyFont="1" applyAlignment="1">
      <alignment horizontal="left" vertical="center"/>
    </xf>
    <xf numFmtId="0" fontId="12" fillId="0" borderId="3" xfId="5" applyFont="1" applyBorder="1" applyAlignment="1">
      <alignment horizontal="center" vertical="center"/>
    </xf>
    <xf numFmtId="0" fontId="12" fillId="0" borderId="35" xfId="5" applyFont="1" applyBorder="1" applyAlignment="1">
      <alignment horizontal="center" vertical="center"/>
    </xf>
    <xf numFmtId="0" fontId="12" fillId="0" borderId="13" xfId="5" applyFont="1" applyBorder="1" applyAlignment="1">
      <alignment horizontal="center" vertical="center"/>
    </xf>
    <xf numFmtId="0" fontId="10" fillId="0" borderId="43" xfId="5" applyFont="1" applyBorder="1" applyAlignment="1">
      <alignment horizontal="left" vertical="center"/>
    </xf>
    <xf numFmtId="0" fontId="10" fillId="0" borderId="15" xfId="5" applyFont="1" applyBorder="1" applyAlignment="1">
      <alignment horizontal="left" vertical="center"/>
    </xf>
    <xf numFmtId="0" fontId="8" fillId="0" borderId="43" xfId="5" applyFont="1" applyBorder="1" applyAlignment="1">
      <alignment horizontal="left" vertical="center"/>
    </xf>
    <xf numFmtId="0" fontId="8" fillId="0" borderId="15" xfId="5" applyFont="1" applyBorder="1" applyAlignment="1">
      <alignment horizontal="left" vertical="center"/>
    </xf>
    <xf numFmtId="0" fontId="8" fillId="0" borderId="0" xfId="5" applyFont="1" applyAlignment="1">
      <alignment horizontal="left" vertical="center"/>
    </xf>
    <xf numFmtId="0" fontId="10" fillId="0" borderId="0" xfId="5" applyFont="1" applyAlignment="1">
      <alignment horizontal="left" vertical="center"/>
    </xf>
    <xf numFmtId="0" fontId="9" fillId="0" borderId="36" xfId="5" applyFont="1" applyBorder="1" applyAlignment="1">
      <alignment horizontal="left" vertical="center"/>
    </xf>
    <xf numFmtId="0" fontId="9" fillId="0" borderId="24" xfId="5" applyFont="1" applyBorder="1" applyAlignment="1">
      <alignment horizontal="left" vertical="center"/>
    </xf>
    <xf numFmtId="0" fontId="9" fillId="0" borderId="0" xfId="5" applyFont="1" applyAlignment="1">
      <alignment horizontal="left" vertical="center"/>
    </xf>
    <xf numFmtId="0" fontId="9" fillId="0" borderId="15" xfId="5" applyFont="1" applyBorder="1" applyAlignment="1">
      <alignment horizontal="left" vertical="center"/>
    </xf>
    <xf numFmtId="0" fontId="19" fillId="0" borderId="0" xfId="4" applyNumberFormat="1" applyFont="1" applyFill="1" applyBorder="1" applyAlignment="1">
      <alignment horizontal="left" vertical="center"/>
    </xf>
    <xf numFmtId="0" fontId="19" fillId="0" borderId="0" xfId="6" applyFont="1" applyAlignment="1">
      <alignment horizontal="left" vertical="center"/>
    </xf>
    <xf numFmtId="0" fontId="8" fillId="0" borderId="0" xfId="0" applyFont="1" applyAlignment="1">
      <alignment horizontal="justify" vertical="center"/>
    </xf>
    <xf numFmtId="0" fontId="10" fillId="0" borderId="43" xfId="5" applyFont="1" applyBorder="1" applyAlignment="1">
      <alignment horizontal="left" vertical="center" wrapText="1"/>
    </xf>
    <xf numFmtId="0" fontId="10" fillId="0" borderId="15" xfId="5" applyFont="1" applyBorder="1" applyAlignment="1">
      <alignment horizontal="left" vertical="center" wrapText="1"/>
    </xf>
    <xf numFmtId="0" fontId="8" fillId="0" borderId="50" xfId="5" applyFont="1" applyBorder="1" applyAlignment="1">
      <alignment horizontal="center" vertical="center"/>
    </xf>
    <xf numFmtId="0" fontId="8" fillId="0" borderId="41" xfId="5" applyFont="1" applyBorder="1" applyAlignment="1">
      <alignment horizontal="center" vertical="center"/>
    </xf>
    <xf numFmtId="0" fontId="10" fillId="0" borderId="45" xfId="5" applyFont="1" applyBorder="1" applyAlignment="1">
      <alignment horizontal="left" vertical="center"/>
    </xf>
    <xf numFmtId="0" fontId="10" fillId="0" borderId="33" xfId="5" applyFont="1" applyBorder="1" applyAlignment="1">
      <alignment horizontal="left" vertical="center"/>
    </xf>
    <xf numFmtId="0" fontId="12" fillId="0" borderId="0" xfId="3" applyFont="1" applyAlignment="1">
      <alignment horizontal="left" vertical="center"/>
    </xf>
    <xf numFmtId="0" fontId="12" fillId="0" borderId="0" xfId="5" applyFont="1" applyAlignment="1">
      <alignment horizontal="left" vertical="center"/>
    </xf>
    <xf numFmtId="0" fontId="21" fillId="0" borderId="22" xfId="4" applyNumberFormat="1" applyFont="1" applyBorder="1" applyAlignment="1" applyProtection="1">
      <alignment horizontal="right" vertical="center"/>
    </xf>
    <xf numFmtId="0" fontId="8" fillId="0" borderId="59" xfId="0" applyFont="1" applyBorder="1" applyAlignment="1">
      <alignment horizontal="center" vertical="center" wrapText="1"/>
    </xf>
    <xf numFmtId="0" fontId="8" fillId="0" borderId="0" xfId="0" applyFont="1" applyAlignment="1">
      <alignment horizontal="center" vertical="center" wrapText="1"/>
    </xf>
    <xf numFmtId="0" fontId="8" fillId="0" borderId="59" xfId="0" applyFont="1" applyBorder="1" applyAlignment="1">
      <alignment horizontal="center" vertical="center"/>
    </xf>
    <xf numFmtId="0" fontId="8" fillId="0" borderId="0" xfId="0" applyFont="1" applyAlignment="1">
      <alignment horizontal="center" vertical="center"/>
    </xf>
    <xf numFmtId="0" fontId="8" fillId="0" borderId="0" xfId="6" applyFont="1" applyAlignment="1">
      <alignment horizontal="left" vertical="center"/>
    </xf>
    <xf numFmtId="0" fontId="8" fillId="0" borderId="19" xfId="6" applyFont="1" applyBorder="1" applyAlignment="1">
      <alignment horizontal="left" vertical="center"/>
    </xf>
    <xf numFmtId="0" fontId="8" fillId="0" borderId="34" xfId="6" applyFont="1" applyBorder="1" applyAlignment="1">
      <alignment horizontal="left" vertical="center"/>
    </xf>
    <xf numFmtId="0" fontId="8" fillId="0" borderId="42" xfId="6" applyFont="1" applyBorder="1" applyAlignment="1">
      <alignment horizontal="left" vertical="center"/>
    </xf>
    <xf numFmtId="0" fontId="8" fillId="0" borderId="37" xfId="6" applyFont="1" applyBorder="1" applyAlignment="1">
      <alignment horizontal="left" vertical="center"/>
    </xf>
    <xf numFmtId="0" fontId="8" fillId="0" borderId="32" xfId="6" applyFont="1" applyBorder="1" applyAlignment="1">
      <alignment horizontal="left" vertical="center"/>
    </xf>
    <xf numFmtId="0" fontId="8" fillId="0" borderId="33" xfId="6" applyFont="1" applyBorder="1" applyAlignment="1">
      <alignment horizontal="left" vertical="center"/>
    </xf>
    <xf numFmtId="0" fontId="10" fillId="0" borderId="59" xfId="4" applyNumberFormat="1" applyFont="1" applyFill="1" applyBorder="1" applyAlignment="1">
      <alignment horizontal="left" vertical="center"/>
    </xf>
    <xf numFmtId="0" fontId="10" fillId="0" borderId="0" xfId="4" applyNumberFormat="1" applyFont="1" applyFill="1" applyBorder="1" applyAlignment="1">
      <alignment horizontal="left" vertical="center"/>
    </xf>
    <xf numFmtId="0" fontId="10" fillId="0" borderId="15" xfId="4" applyNumberFormat="1" applyFont="1" applyFill="1" applyBorder="1" applyAlignment="1">
      <alignment horizontal="left" vertical="center"/>
    </xf>
    <xf numFmtId="0" fontId="8" fillId="0" borderId="59" xfId="4" applyNumberFormat="1" applyFont="1" applyFill="1" applyBorder="1" applyAlignment="1">
      <alignment horizontal="left" vertical="center"/>
    </xf>
    <xf numFmtId="0" fontId="8" fillId="0" borderId="0" xfId="4" applyNumberFormat="1" applyFont="1" applyFill="1" applyBorder="1" applyAlignment="1">
      <alignment horizontal="left" vertical="center"/>
    </xf>
    <xf numFmtId="0" fontId="8" fillId="0" borderId="15" xfId="4" applyNumberFormat="1" applyFont="1" applyFill="1" applyBorder="1" applyAlignment="1">
      <alignment horizontal="left" vertical="center"/>
    </xf>
    <xf numFmtId="0" fontId="18" fillId="0" borderId="59" xfId="4" applyNumberFormat="1" applyFont="1" applyFill="1" applyBorder="1" applyAlignment="1">
      <alignment horizontal="left" vertical="center"/>
    </xf>
    <xf numFmtId="0" fontId="18" fillId="0" borderId="0" xfId="4" applyNumberFormat="1" applyFont="1" applyFill="1" applyBorder="1" applyAlignment="1">
      <alignment horizontal="left" vertical="center"/>
    </xf>
    <xf numFmtId="0" fontId="18" fillId="0" borderId="15" xfId="4" applyNumberFormat="1" applyFont="1" applyFill="1" applyBorder="1" applyAlignment="1">
      <alignment horizontal="left" vertical="center"/>
    </xf>
    <xf numFmtId="0" fontId="8" fillId="0" borderId="21" xfId="4" applyNumberFormat="1" applyFont="1" applyFill="1" applyBorder="1" applyAlignment="1">
      <alignment horizontal="left" vertical="center"/>
    </xf>
    <xf numFmtId="0" fontId="8" fillId="0" borderId="22" xfId="4" applyNumberFormat="1" applyFont="1" applyFill="1" applyBorder="1" applyAlignment="1">
      <alignment horizontal="left" vertical="center"/>
    </xf>
    <xf numFmtId="0" fontId="8" fillId="0" borderId="16" xfId="4" applyNumberFormat="1" applyFont="1" applyFill="1" applyBorder="1" applyAlignment="1">
      <alignment horizontal="left" vertical="center"/>
    </xf>
    <xf numFmtId="0" fontId="10" fillId="0" borderId="59" xfId="6" applyFont="1" applyBorder="1" applyAlignment="1">
      <alignment horizontal="left" vertical="center"/>
    </xf>
    <xf numFmtId="0" fontId="10" fillId="0" borderId="0" xfId="6" applyFont="1" applyAlignment="1">
      <alignment horizontal="left" vertical="center"/>
    </xf>
    <xf numFmtId="0" fontId="10" fillId="0" borderId="15" xfId="6" applyFont="1" applyBorder="1" applyAlignment="1">
      <alignment horizontal="left" vertical="center"/>
    </xf>
    <xf numFmtId="0" fontId="10" fillId="0" borderId="34" xfId="6" applyFont="1" applyBorder="1" applyAlignment="1">
      <alignment horizontal="left" vertical="center"/>
    </xf>
    <xf numFmtId="0" fontId="10" fillId="0" borderId="0" xfId="6" applyFont="1" applyAlignment="1">
      <alignment horizontal="justify" vertical="center" wrapText="1"/>
    </xf>
    <xf numFmtId="0" fontId="8" fillId="0" borderId="22" xfId="0" applyFont="1" applyBorder="1" applyAlignment="1">
      <alignment horizontal="left" vertical="center"/>
    </xf>
    <xf numFmtId="0" fontId="10" fillId="0" borderId="59" xfId="6" applyFont="1" applyBorder="1" applyAlignment="1">
      <alignment vertical="center"/>
    </xf>
    <xf numFmtId="0" fontId="10" fillId="0" borderId="0" xfId="6" applyFont="1" applyAlignment="1">
      <alignment vertical="center"/>
    </xf>
    <xf numFmtId="0" fontId="10" fillId="0" borderId="15" xfId="6" applyFont="1" applyBorder="1" applyAlignment="1">
      <alignment vertical="center"/>
    </xf>
    <xf numFmtId="0" fontId="8" fillId="0" borderId="28" xfId="6" applyFont="1" applyBorder="1" applyAlignment="1">
      <alignment horizontal="center" vertical="center"/>
    </xf>
    <xf numFmtId="0" fontId="8" fillId="0" borderId="13" xfId="6" applyFont="1" applyBorder="1" applyAlignment="1">
      <alignment horizontal="center" vertical="center"/>
    </xf>
    <xf numFmtId="0" fontId="8" fillId="0" borderId="35" xfId="6" applyFont="1" applyBorder="1" applyAlignment="1">
      <alignment horizontal="center" vertical="center"/>
    </xf>
    <xf numFmtId="0" fontId="8" fillId="0" borderId="4" xfId="6" applyFont="1" applyBorder="1" applyAlignment="1">
      <alignment horizontal="center" vertical="center"/>
    </xf>
    <xf numFmtId="0" fontId="10" fillId="0" borderId="37" xfId="6" applyFont="1" applyBorder="1" applyAlignment="1">
      <alignment horizontal="left" vertical="center"/>
    </xf>
    <xf numFmtId="0" fontId="10" fillId="0" borderId="32" xfId="6" applyFont="1" applyBorder="1" applyAlignment="1">
      <alignment horizontal="left" vertical="center"/>
    </xf>
    <xf numFmtId="0" fontId="10" fillId="0" borderId="33" xfId="6" applyFont="1" applyBorder="1" applyAlignment="1">
      <alignment horizontal="left" vertical="center"/>
    </xf>
    <xf numFmtId="0" fontId="8" fillId="0" borderId="21" xfId="6" applyFont="1" applyBorder="1" applyAlignment="1">
      <alignment horizontal="left" vertical="center"/>
    </xf>
    <xf numFmtId="0" fontId="8" fillId="0" borderId="22" xfId="6" applyFont="1" applyBorder="1" applyAlignment="1">
      <alignment horizontal="left" vertical="center"/>
    </xf>
    <xf numFmtId="0" fontId="8" fillId="0" borderId="16" xfId="6" applyFont="1" applyBorder="1" applyAlignment="1">
      <alignment horizontal="left" vertical="center"/>
    </xf>
    <xf numFmtId="0" fontId="8" fillId="0" borderId="28" xfId="4" applyNumberFormat="1" applyFont="1" applyFill="1" applyBorder="1" applyAlignment="1">
      <alignment horizontal="center" vertical="center" wrapText="1"/>
    </xf>
    <xf numFmtId="0" fontId="8" fillId="0" borderId="13" xfId="4" applyNumberFormat="1" applyFont="1" applyFill="1" applyBorder="1" applyAlignment="1">
      <alignment horizontal="center" vertical="center" wrapText="1"/>
    </xf>
    <xf numFmtId="0" fontId="8" fillId="0" borderId="35" xfId="4" applyNumberFormat="1" applyFont="1" applyFill="1" applyBorder="1" applyAlignment="1">
      <alignment horizontal="center" vertical="center" wrapText="1"/>
    </xf>
    <xf numFmtId="0" fontId="8" fillId="0" borderId="4" xfId="4" applyNumberFormat="1" applyFont="1" applyFill="1" applyBorder="1" applyAlignment="1">
      <alignment horizontal="center" vertical="center" wrapText="1"/>
    </xf>
    <xf numFmtId="0" fontId="8" fillId="0" borderId="3" xfId="6" applyFont="1" applyBorder="1" applyAlignment="1">
      <alignment horizontal="left" vertical="center"/>
    </xf>
    <xf numFmtId="0" fontId="8" fillId="0" borderId="35" xfId="6" applyFont="1" applyBorder="1" applyAlignment="1">
      <alignment horizontal="left" vertical="center"/>
    </xf>
    <xf numFmtId="0" fontId="8" fillId="0" borderId="13" xfId="6" applyFont="1" applyBorder="1" applyAlignment="1">
      <alignment horizontal="left" vertical="center"/>
    </xf>
    <xf numFmtId="0" fontId="8" fillId="0" borderId="5" xfId="6" applyFont="1" applyBorder="1" applyAlignment="1">
      <alignment horizontal="left" vertical="center"/>
    </xf>
    <xf numFmtId="0" fontId="8" fillId="0" borderId="38" xfId="6" applyFont="1" applyBorder="1" applyAlignment="1">
      <alignment horizontal="left" vertical="center"/>
    </xf>
    <xf numFmtId="0" fontId="8" fillId="0" borderId="14" xfId="6" applyFont="1" applyBorder="1" applyAlignment="1">
      <alignment horizontal="left" vertical="center"/>
    </xf>
    <xf numFmtId="0" fontId="10" fillId="0" borderId="34" xfId="1" applyNumberFormat="1" applyFont="1" applyFill="1" applyBorder="1" applyAlignment="1" applyProtection="1">
      <alignment horizontal="left" vertical="center"/>
    </xf>
    <xf numFmtId="0" fontId="8" fillId="0" borderId="47" xfId="0" applyFont="1" applyBorder="1" applyAlignment="1">
      <alignment horizontal="center" vertical="center"/>
    </xf>
    <xf numFmtId="0" fontId="8" fillId="0" borderId="29" xfId="0" applyFont="1" applyBorder="1" applyAlignment="1">
      <alignment horizontal="center" vertical="center"/>
    </xf>
    <xf numFmtId="0" fontId="8" fillId="0" borderId="54"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17" xfId="0" applyFont="1" applyBorder="1" applyAlignment="1">
      <alignment horizontal="center" vertical="center"/>
    </xf>
    <xf numFmtId="0" fontId="8" fillId="0" borderId="17" xfId="7" applyFont="1" applyBorder="1" applyAlignment="1">
      <alignment horizontal="center" vertical="center"/>
    </xf>
    <xf numFmtId="0" fontId="8" fillId="0" borderId="61" xfId="7" applyFont="1" applyBorder="1" applyAlignment="1">
      <alignment horizontal="center" vertical="center" wrapText="1"/>
    </xf>
    <xf numFmtId="0" fontId="8" fillId="0" borderId="62" xfId="7" applyFont="1" applyBorder="1" applyAlignment="1">
      <alignment horizontal="center" vertical="center" wrapText="1"/>
    </xf>
    <xf numFmtId="0" fontId="10" fillId="0" borderId="43" xfId="6" applyFont="1" applyBorder="1" applyAlignment="1">
      <alignment horizontal="left" vertical="center"/>
    </xf>
    <xf numFmtId="43" fontId="10" fillId="0" borderId="43" xfId="1" applyFont="1" applyFill="1" applyBorder="1" applyAlignment="1">
      <alignment horizontal="center" vertical="center"/>
    </xf>
    <xf numFmtId="43" fontId="10" fillId="0" borderId="1" xfId="1" applyFont="1" applyFill="1" applyBorder="1" applyAlignment="1">
      <alignment horizontal="center" vertical="center"/>
    </xf>
    <xf numFmtId="0" fontId="10" fillId="0" borderId="50" xfId="0" applyFont="1" applyBorder="1" applyAlignment="1">
      <alignment horizontal="justify" vertical="center" wrapText="1"/>
    </xf>
    <xf numFmtId="0" fontId="10" fillId="0" borderId="40" xfId="0" applyFont="1" applyBorder="1" applyAlignment="1">
      <alignment horizontal="justify" vertical="center" wrapText="1"/>
    </xf>
    <xf numFmtId="0" fontId="10" fillId="0" borderId="53" xfId="0" applyFont="1" applyBorder="1" applyAlignment="1">
      <alignment horizontal="justify" vertical="center" wrapText="1"/>
    </xf>
    <xf numFmtId="0" fontId="10" fillId="0" borderId="28" xfId="0" applyFont="1" applyBorder="1" applyAlignment="1">
      <alignment horizontal="justify" vertical="center" wrapText="1"/>
    </xf>
    <xf numFmtId="0" fontId="10" fillId="0" borderId="35" xfId="0" applyFont="1" applyBorder="1" applyAlignment="1">
      <alignment horizontal="justify" vertical="center" wrapText="1"/>
    </xf>
    <xf numFmtId="0" fontId="10" fillId="0" borderId="4" xfId="0" applyFont="1" applyBorder="1" applyAlignment="1">
      <alignment horizontal="justify" vertical="center" wrapText="1"/>
    </xf>
    <xf numFmtId="43" fontId="10" fillId="0" borderId="0" xfId="1" applyFont="1" applyBorder="1" applyAlignment="1">
      <alignment horizontal="center" vertical="center"/>
    </xf>
    <xf numFmtId="43" fontId="10" fillId="0" borderId="1" xfId="1" applyFont="1" applyBorder="1" applyAlignment="1">
      <alignment horizontal="center" vertical="center"/>
    </xf>
    <xf numFmtId="43" fontId="10" fillId="0" borderId="43" xfId="1" applyFont="1" applyBorder="1" applyAlignment="1">
      <alignment horizontal="center" vertical="center"/>
    </xf>
    <xf numFmtId="43" fontId="10" fillId="0" borderId="15" xfId="1" applyFont="1" applyBorder="1" applyAlignment="1">
      <alignment horizontal="center" vertical="center"/>
    </xf>
    <xf numFmtId="43" fontId="8" fillId="0" borderId="50" xfId="1" applyFont="1" applyBorder="1" applyAlignment="1">
      <alignment horizontal="right" vertical="center"/>
    </xf>
    <xf numFmtId="43" fontId="8" fillId="0" borderId="41" xfId="1" applyFont="1" applyBorder="1" applyAlignment="1">
      <alignment horizontal="right" vertical="center"/>
    </xf>
    <xf numFmtId="43" fontId="8" fillId="0" borderId="53" xfId="1" applyFont="1" applyBorder="1" applyAlignment="1">
      <alignment horizontal="right" vertical="center"/>
    </xf>
    <xf numFmtId="43" fontId="10" fillId="0" borderId="45" xfId="1" applyFont="1" applyBorder="1" applyAlignment="1">
      <alignment horizontal="center" vertical="center"/>
    </xf>
    <xf numFmtId="43" fontId="10" fillId="0" borderId="31" xfId="1" applyFont="1" applyBorder="1" applyAlignment="1">
      <alignment horizontal="center" vertical="center"/>
    </xf>
    <xf numFmtId="43" fontId="10" fillId="0" borderId="33" xfId="1" applyFont="1" applyBorder="1" applyAlignment="1">
      <alignment horizontal="center" vertical="center"/>
    </xf>
    <xf numFmtId="0" fontId="10" fillId="0" borderId="45" xfId="0" applyFont="1" applyBorder="1" applyAlignment="1">
      <alignment horizontal="center" vertical="center"/>
    </xf>
    <xf numFmtId="0" fontId="10" fillId="0" borderId="33" xfId="0" applyFont="1" applyBorder="1" applyAlignment="1">
      <alignment horizontal="center" vertical="center"/>
    </xf>
    <xf numFmtId="0" fontId="8" fillId="0" borderId="50" xfId="0" applyFont="1" applyBorder="1" applyAlignment="1">
      <alignment horizontal="center" vertical="center"/>
    </xf>
    <xf numFmtId="0" fontId="8" fillId="0" borderId="41" xfId="0" applyFont="1" applyBorder="1" applyAlignment="1">
      <alignment horizontal="center" vertical="center"/>
    </xf>
    <xf numFmtId="0" fontId="10" fillId="0" borderId="5" xfId="3" applyFont="1" applyBorder="1" applyAlignment="1">
      <alignment horizontal="left" vertical="center"/>
    </xf>
    <xf numFmtId="0" fontId="10" fillId="0" borderId="14" xfId="3" applyFont="1" applyBorder="1" applyAlignment="1">
      <alignment horizontal="left" vertical="center"/>
    </xf>
    <xf numFmtId="0" fontId="18" fillId="0" borderId="39" xfId="0" applyFont="1" applyBorder="1" applyAlignment="1">
      <alignment horizontal="center" vertical="center"/>
    </xf>
    <xf numFmtId="0" fontId="18" fillId="0" borderId="41" xfId="0" applyFont="1" applyBorder="1" applyAlignment="1">
      <alignment horizontal="center" vertical="center"/>
    </xf>
    <xf numFmtId="0" fontId="10" fillId="0" borderId="5" xfId="3" applyFont="1" applyBorder="1" applyAlignment="1">
      <alignment horizontal="left" vertical="center" wrapText="1"/>
    </xf>
    <xf numFmtId="0" fontId="10" fillId="0" borderId="14" xfId="3" applyFont="1" applyBorder="1" applyAlignment="1">
      <alignment horizontal="left" vertical="center" wrapText="1"/>
    </xf>
    <xf numFmtId="43" fontId="8" fillId="0" borderId="50" xfId="1" applyFont="1" applyFill="1" applyBorder="1" applyAlignment="1" applyProtection="1">
      <alignment horizontal="center" vertical="center"/>
    </xf>
    <xf numFmtId="43" fontId="8" fillId="0" borderId="53" xfId="1" applyFont="1" applyFill="1" applyBorder="1" applyAlignment="1" applyProtection="1">
      <alignment horizontal="center" vertical="center"/>
    </xf>
    <xf numFmtId="0" fontId="8" fillId="0" borderId="51" xfId="6" applyFont="1" applyBorder="1" applyAlignment="1">
      <alignment horizontal="left" vertical="center"/>
    </xf>
    <xf numFmtId="0" fontId="8" fillId="0" borderId="24" xfId="6" applyFont="1" applyBorder="1" applyAlignment="1">
      <alignment horizontal="left" vertical="center"/>
    </xf>
    <xf numFmtId="43" fontId="10" fillId="0" borderId="15" xfId="1" applyFont="1" applyFill="1" applyBorder="1" applyAlignment="1">
      <alignment horizontal="center" vertical="center"/>
    </xf>
    <xf numFmtId="0" fontId="8" fillId="0" borderId="28"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3" xfId="0" applyFont="1" applyBorder="1" applyAlignment="1">
      <alignment horizontal="center" vertical="center" wrapText="1"/>
    </xf>
    <xf numFmtId="43" fontId="10" fillId="0" borderId="51" xfId="1" applyFont="1" applyFill="1" applyBorder="1" applyAlignment="1">
      <alignment horizontal="center" vertical="center"/>
    </xf>
    <xf numFmtId="43" fontId="10" fillId="0" borderId="24" xfId="1" applyFont="1" applyFill="1" applyBorder="1" applyAlignment="1">
      <alignment horizontal="center" vertical="center"/>
    </xf>
    <xf numFmtId="43" fontId="8" fillId="0" borderId="50" xfId="1" applyFont="1" applyFill="1" applyBorder="1" applyAlignment="1">
      <alignment horizontal="center" vertical="center"/>
    </xf>
    <xf numFmtId="43" fontId="8" fillId="0" borderId="53" xfId="1" applyFont="1" applyFill="1" applyBorder="1" applyAlignment="1">
      <alignment horizontal="center" vertical="center"/>
    </xf>
    <xf numFmtId="0" fontId="8" fillId="0" borderId="28" xfId="1" applyNumberFormat="1" applyFont="1" applyFill="1" applyBorder="1" applyAlignment="1" applyProtection="1">
      <alignment horizontal="center" vertical="center" wrapText="1"/>
    </xf>
    <xf numFmtId="0" fontId="8" fillId="0" borderId="13" xfId="1" applyNumberFormat="1" applyFont="1" applyFill="1" applyBorder="1" applyAlignment="1" applyProtection="1">
      <alignment horizontal="center" vertical="center" wrapText="1"/>
    </xf>
    <xf numFmtId="0" fontId="8" fillId="0" borderId="28" xfId="0" applyFont="1" applyBorder="1" applyAlignment="1">
      <alignment horizontal="center" vertical="center"/>
    </xf>
    <xf numFmtId="0" fontId="8" fillId="0" borderId="13" xfId="0" applyFont="1" applyBorder="1" applyAlignment="1">
      <alignment horizontal="center" vertical="center"/>
    </xf>
    <xf numFmtId="0" fontId="8" fillId="0" borderId="35" xfId="0" applyFont="1" applyBorder="1" applyAlignment="1">
      <alignment horizontal="center" vertical="center"/>
    </xf>
    <xf numFmtId="0" fontId="8" fillId="0" borderId="4" xfId="0" applyFont="1" applyBorder="1" applyAlignment="1">
      <alignment horizontal="center" vertical="center"/>
    </xf>
    <xf numFmtId="43" fontId="8" fillId="0" borderId="41" xfId="1" applyFont="1" applyFill="1" applyBorder="1" applyAlignment="1">
      <alignment horizontal="center" vertical="center"/>
    </xf>
    <xf numFmtId="0" fontId="10" fillId="0" borderId="45" xfId="6" applyFont="1" applyBorder="1" applyAlignment="1">
      <alignment horizontal="center" vertical="center"/>
    </xf>
    <xf numFmtId="0" fontId="10" fillId="0" borderId="33" xfId="6" applyFont="1" applyBorder="1" applyAlignment="1">
      <alignment horizontal="center" vertical="center"/>
    </xf>
    <xf numFmtId="43" fontId="8" fillId="0" borderId="41" xfId="1" applyFont="1" applyFill="1" applyBorder="1" applyAlignment="1" applyProtection="1">
      <alignment horizontal="center" vertical="center"/>
    </xf>
    <xf numFmtId="0" fontId="8" fillId="0" borderId="43" xfId="6" applyFont="1" applyBorder="1" applyAlignment="1">
      <alignment horizontal="center" vertical="center"/>
    </xf>
    <xf numFmtId="0" fontId="8" fillId="0" borderId="15" xfId="6" applyFont="1" applyBorder="1" applyAlignment="1">
      <alignment horizontal="center" vertical="center"/>
    </xf>
    <xf numFmtId="0" fontId="10" fillId="0" borderId="45" xfId="4" applyNumberFormat="1" applyFont="1" applyFill="1" applyBorder="1" applyAlignment="1" applyProtection="1">
      <alignment horizontal="left" vertical="center"/>
    </xf>
    <xf numFmtId="0" fontId="10" fillId="0" borderId="33" xfId="4" applyNumberFormat="1" applyFont="1" applyFill="1" applyBorder="1" applyAlignment="1" applyProtection="1">
      <alignment horizontal="left" vertical="center"/>
    </xf>
    <xf numFmtId="0" fontId="8" fillId="0" borderId="50" xfId="6" applyFont="1" applyBorder="1" applyAlignment="1">
      <alignment horizontal="center" vertical="center"/>
    </xf>
    <xf numFmtId="0" fontId="8" fillId="0" borderId="41" xfId="6" applyFont="1" applyBorder="1" applyAlignment="1">
      <alignment horizontal="center" vertical="center"/>
    </xf>
    <xf numFmtId="0" fontId="8" fillId="0" borderId="4" xfId="1" applyNumberFormat="1" applyFont="1" applyFill="1" applyBorder="1" applyAlignment="1" applyProtection="1">
      <alignment horizontal="center" vertical="center" wrapText="1"/>
    </xf>
    <xf numFmtId="43" fontId="10" fillId="0" borderId="51" xfId="1" applyFont="1" applyFill="1" applyBorder="1" applyAlignment="1" applyProtection="1">
      <alignment horizontal="center" vertical="center"/>
    </xf>
    <xf numFmtId="43" fontId="10" fillId="0" borderId="49" xfId="1" applyFont="1" applyFill="1" applyBorder="1" applyAlignment="1" applyProtection="1">
      <alignment horizontal="center" vertical="center"/>
    </xf>
    <xf numFmtId="0" fontId="10" fillId="0" borderId="50" xfId="0" applyFont="1" applyBorder="1" applyAlignment="1">
      <alignment horizontal="justify" vertical="top" wrapText="1"/>
    </xf>
    <xf numFmtId="0" fontId="10" fillId="0" borderId="40" xfId="0" applyFont="1" applyBorder="1" applyAlignment="1">
      <alignment horizontal="justify" vertical="top" wrapText="1"/>
    </xf>
    <xf numFmtId="0" fontId="10" fillId="0" borderId="53" xfId="0" applyFont="1" applyBorder="1" applyAlignment="1">
      <alignment horizontal="justify" vertical="top" wrapText="1"/>
    </xf>
    <xf numFmtId="43" fontId="10" fillId="0" borderId="24" xfId="1" applyFont="1" applyFill="1" applyBorder="1" applyAlignment="1" applyProtection="1">
      <alignment horizontal="center" vertical="center"/>
    </xf>
    <xf numFmtId="43" fontId="10" fillId="0" borderId="49" xfId="1" applyFont="1" applyFill="1" applyBorder="1" applyAlignment="1">
      <alignment horizontal="center" vertical="center"/>
    </xf>
    <xf numFmtId="0" fontId="8" fillId="0" borderId="28" xfId="4" applyNumberFormat="1" applyFont="1" applyFill="1" applyBorder="1" applyAlignment="1" applyProtection="1">
      <alignment horizontal="center" vertical="center"/>
    </xf>
    <xf numFmtId="0" fontId="8" fillId="0" borderId="13" xfId="4" applyNumberFormat="1" applyFont="1" applyFill="1" applyBorder="1" applyAlignment="1" applyProtection="1">
      <alignment horizontal="center" vertical="center"/>
    </xf>
    <xf numFmtId="0" fontId="10" fillId="0" borderId="51" xfId="4" applyNumberFormat="1" applyFont="1" applyFill="1" applyBorder="1" applyAlignment="1" applyProtection="1">
      <alignment horizontal="left" vertical="center"/>
    </xf>
    <xf numFmtId="0" fontId="10" fillId="0" borderId="24" xfId="4" applyNumberFormat="1" applyFont="1" applyFill="1" applyBorder="1" applyAlignment="1" applyProtection="1">
      <alignment horizontal="left" vertical="center"/>
    </xf>
    <xf numFmtId="0" fontId="10" fillId="0" borderId="43" xfId="4" applyNumberFormat="1" applyFont="1" applyFill="1" applyBorder="1" applyAlignment="1" applyProtection="1">
      <alignment horizontal="left" vertical="center"/>
    </xf>
    <xf numFmtId="0" fontId="10" fillId="0" borderId="15" xfId="4" applyNumberFormat="1" applyFont="1" applyFill="1" applyBorder="1" applyAlignment="1" applyProtection="1">
      <alignment horizontal="left" vertical="center"/>
    </xf>
    <xf numFmtId="43" fontId="10" fillId="0" borderId="45" xfId="1" applyFont="1" applyFill="1" applyBorder="1" applyAlignment="1">
      <alignment horizontal="center" vertical="center"/>
    </xf>
    <xf numFmtId="43" fontId="10" fillId="0" borderId="31" xfId="1" applyFont="1" applyFill="1" applyBorder="1" applyAlignment="1">
      <alignment horizontal="center" vertical="center"/>
    </xf>
    <xf numFmtId="0" fontId="8" fillId="0" borderId="51" xfId="6" applyFont="1" applyBorder="1" applyAlignment="1">
      <alignment horizontal="center" vertical="center"/>
    </xf>
    <xf numFmtId="0" fontId="8" fillId="0" borderId="24" xfId="6" applyFont="1" applyBorder="1" applyAlignment="1">
      <alignment horizontal="center" vertical="center"/>
    </xf>
    <xf numFmtId="43" fontId="10" fillId="0" borderId="43" xfId="1" applyFont="1" applyFill="1" applyBorder="1" applyAlignment="1">
      <alignment horizontal="right" vertical="center"/>
    </xf>
    <xf numFmtId="43" fontId="10" fillId="0" borderId="15" xfId="1" applyFont="1" applyFill="1" applyBorder="1" applyAlignment="1">
      <alignment horizontal="right" vertical="center"/>
    </xf>
    <xf numFmtId="0" fontId="10" fillId="0" borderId="51" xfId="6" applyFont="1" applyBorder="1" applyAlignment="1">
      <alignment horizontal="left" vertical="center"/>
    </xf>
    <xf numFmtId="0" fontId="10" fillId="0" borderId="24" xfId="6" applyFont="1" applyBorder="1" applyAlignment="1">
      <alignment horizontal="left" vertical="center"/>
    </xf>
    <xf numFmtId="0" fontId="8" fillId="0" borderId="43" xfId="6" applyFont="1" applyBorder="1" applyAlignment="1">
      <alignment horizontal="left" vertical="center"/>
    </xf>
    <xf numFmtId="0" fontId="8" fillId="0" borderId="15" xfId="6" applyFont="1" applyBorder="1" applyAlignment="1">
      <alignment horizontal="left" vertical="center"/>
    </xf>
    <xf numFmtId="0" fontId="10" fillId="0" borderId="45" xfId="6" applyFont="1" applyBorder="1" applyAlignment="1">
      <alignment horizontal="left" vertical="center"/>
    </xf>
    <xf numFmtId="0" fontId="8" fillId="0" borderId="50" xfId="4" applyNumberFormat="1" applyFont="1" applyFill="1" applyBorder="1" applyAlignment="1">
      <alignment horizontal="center" vertical="center"/>
    </xf>
    <xf numFmtId="0" fontId="8" fillId="0" borderId="41" xfId="4" applyNumberFormat="1" applyFont="1" applyFill="1" applyBorder="1" applyAlignment="1">
      <alignment horizontal="center" vertical="center"/>
    </xf>
    <xf numFmtId="43" fontId="10" fillId="0" borderId="33" xfId="1" applyFont="1" applyFill="1" applyBorder="1" applyAlignment="1">
      <alignment horizontal="center" vertical="center"/>
    </xf>
    <xf numFmtId="43" fontId="10" fillId="0" borderId="45" xfId="1" applyFont="1" applyFill="1" applyBorder="1" applyAlignment="1" applyProtection="1">
      <alignment horizontal="right" vertical="center"/>
    </xf>
    <xf numFmtId="43" fontId="10" fillId="0" borderId="31" xfId="1" applyFont="1" applyFill="1" applyBorder="1" applyAlignment="1" applyProtection="1">
      <alignment horizontal="right" vertical="center"/>
    </xf>
    <xf numFmtId="43" fontId="10" fillId="0" borderId="33" xfId="1" applyFont="1" applyFill="1" applyBorder="1" applyAlignment="1" applyProtection="1">
      <alignment horizontal="right" vertical="center"/>
    </xf>
    <xf numFmtId="43" fontId="10" fillId="0" borderId="43" xfId="6" applyNumberFormat="1" applyFont="1" applyBorder="1" applyAlignment="1">
      <alignment horizontal="center" vertical="center"/>
    </xf>
    <xf numFmtId="0" fontId="10" fillId="0" borderId="15" xfId="6" applyFont="1" applyBorder="1" applyAlignment="1">
      <alignment horizontal="center" vertical="center"/>
    </xf>
    <xf numFmtId="43" fontId="10" fillId="0" borderId="1" xfId="1" applyFont="1" applyFill="1" applyBorder="1" applyAlignment="1">
      <alignment horizontal="right" vertical="center"/>
    </xf>
    <xf numFmtId="0" fontId="10" fillId="0" borderId="51" xfId="0" applyFont="1" applyBorder="1" applyAlignment="1">
      <alignment horizontal="left" vertical="center"/>
    </xf>
    <xf numFmtId="0" fontId="10" fillId="0" borderId="24" xfId="0" applyFont="1" applyBorder="1" applyAlignment="1">
      <alignment horizontal="left" vertical="center"/>
    </xf>
    <xf numFmtId="43" fontId="8" fillId="0" borderId="22" xfId="1" applyFont="1" applyFill="1" applyBorder="1" applyAlignment="1" applyProtection="1">
      <alignment horizontal="center" vertical="center"/>
    </xf>
    <xf numFmtId="43" fontId="8" fillId="0" borderId="2" xfId="1" applyFont="1" applyFill="1" applyBorder="1" applyAlignment="1" applyProtection="1">
      <alignment horizontal="center" vertical="center"/>
    </xf>
    <xf numFmtId="43" fontId="10" fillId="0" borderId="0" xfId="1" applyFont="1" applyFill="1" applyBorder="1" applyAlignment="1">
      <alignment horizontal="center" vertical="center"/>
    </xf>
    <xf numFmtId="0" fontId="8" fillId="0" borderId="35" xfId="1" applyNumberFormat="1" applyFont="1" applyFill="1" applyBorder="1" applyAlignment="1" applyProtection="1">
      <alignment horizontal="center" vertical="center" wrapText="1"/>
    </xf>
    <xf numFmtId="43" fontId="8" fillId="0" borderId="51" xfId="1" applyFont="1" applyFill="1" applyBorder="1" applyAlignment="1" applyProtection="1">
      <alignment horizontal="center" vertical="center"/>
    </xf>
    <xf numFmtId="43" fontId="8" fillId="0" borderId="49" xfId="1" applyFont="1" applyFill="1" applyBorder="1" applyAlignment="1" applyProtection="1">
      <alignment horizontal="center" vertical="center"/>
    </xf>
    <xf numFmtId="43" fontId="10" fillId="0" borderId="43" xfId="1" applyFont="1" applyFill="1" applyBorder="1" applyAlignment="1" applyProtection="1">
      <alignment horizontal="center" vertical="center"/>
    </xf>
    <xf numFmtId="43" fontId="10" fillId="0" borderId="1" xfId="1" applyFont="1" applyFill="1" applyBorder="1" applyAlignment="1" applyProtection="1">
      <alignment horizontal="center" vertical="center"/>
    </xf>
    <xf numFmtId="43" fontId="10" fillId="0" borderId="0" xfId="1" applyFont="1" applyFill="1" applyBorder="1" applyAlignment="1" applyProtection="1">
      <alignment horizontal="center" vertical="center"/>
    </xf>
    <xf numFmtId="43" fontId="10" fillId="0" borderId="15" xfId="1" applyFont="1" applyFill="1" applyBorder="1" applyAlignment="1" applyProtection="1">
      <alignment horizontal="center" vertical="center"/>
    </xf>
    <xf numFmtId="0" fontId="8" fillId="0" borderId="36" xfId="4" applyNumberFormat="1" applyFont="1" applyFill="1" applyBorder="1" applyAlignment="1" applyProtection="1">
      <alignment horizontal="center" vertical="center"/>
    </xf>
    <xf numFmtId="0" fontId="8" fillId="0" borderId="24" xfId="4" applyNumberFormat="1" applyFont="1" applyFill="1" applyBorder="1" applyAlignment="1" applyProtection="1">
      <alignment horizontal="center" vertical="center"/>
    </xf>
    <xf numFmtId="43" fontId="10" fillId="0" borderId="32" xfId="1" applyFont="1" applyFill="1" applyBorder="1" applyAlignment="1">
      <alignment horizontal="center" vertical="center"/>
    </xf>
    <xf numFmtId="43" fontId="8" fillId="0" borderId="44" xfId="1" applyFont="1" applyFill="1" applyBorder="1" applyAlignment="1" applyProtection="1">
      <alignment horizontal="center" vertical="center"/>
    </xf>
    <xf numFmtId="43" fontId="8" fillId="0" borderId="16" xfId="1" applyFont="1" applyFill="1" applyBorder="1" applyAlignment="1" applyProtection="1">
      <alignment horizontal="center" vertical="center"/>
    </xf>
    <xf numFmtId="0" fontId="8" fillId="0" borderId="35" xfId="0" applyFont="1" applyBorder="1" applyAlignment="1">
      <alignment horizontal="center" vertical="center" wrapText="1"/>
    </xf>
    <xf numFmtId="0" fontId="8" fillId="0" borderId="61" xfId="0" applyFont="1" applyBorder="1" applyAlignment="1">
      <alignment horizontal="center" vertical="center" wrapText="1"/>
    </xf>
    <xf numFmtId="0" fontId="8" fillId="0" borderId="62" xfId="0" applyFont="1" applyBorder="1" applyAlignment="1">
      <alignment horizontal="center" vertical="center" wrapText="1"/>
    </xf>
    <xf numFmtId="0" fontId="8" fillId="0" borderId="23" xfId="0" applyFont="1" applyBorder="1" applyAlignment="1">
      <alignment horizontal="center" vertical="center"/>
    </xf>
    <xf numFmtId="0" fontId="8" fillId="0" borderId="48" xfId="0" applyFont="1" applyBorder="1" applyAlignment="1">
      <alignment horizontal="center" vertical="center"/>
    </xf>
    <xf numFmtId="0" fontId="8" fillId="0" borderId="18" xfId="0" applyFont="1" applyBorder="1" applyAlignment="1">
      <alignment horizontal="center" vertical="center"/>
    </xf>
    <xf numFmtId="0" fontId="8" fillId="0" borderId="39" xfId="0" applyFont="1" applyBorder="1" applyAlignment="1">
      <alignment horizontal="center" vertical="center"/>
    </xf>
    <xf numFmtId="0" fontId="8" fillId="0" borderId="19" xfId="0" applyFont="1" applyBorder="1" applyAlignment="1">
      <alignment horizontal="center" vertical="center"/>
    </xf>
    <xf numFmtId="0" fontId="8" fillId="0" borderId="42" xfId="0" applyFont="1" applyBorder="1" applyAlignment="1">
      <alignment horizontal="center" vertical="center"/>
    </xf>
    <xf numFmtId="0" fontId="8" fillId="0" borderId="37" xfId="0" applyFont="1" applyBorder="1" applyAlignment="1">
      <alignment horizontal="center" vertical="center"/>
    </xf>
    <xf numFmtId="0" fontId="8" fillId="0" borderId="33" xfId="0" applyFont="1" applyBorder="1" applyAlignment="1">
      <alignment horizontal="center" vertical="center"/>
    </xf>
    <xf numFmtId="0" fontId="8" fillId="0" borderId="34" xfId="0" applyFont="1" applyBorder="1" applyAlignment="1">
      <alignment horizontal="left" vertical="center"/>
    </xf>
    <xf numFmtId="43" fontId="10" fillId="0" borderId="56" xfId="1" applyFont="1" applyFill="1" applyBorder="1" applyAlignment="1" applyProtection="1">
      <alignment horizontal="center" vertical="center"/>
    </xf>
    <xf numFmtId="43" fontId="10" fillId="0" borderId="20" xfId="1" applyFont="1" applyFill="1" applyBorder="1" applyAlignment="1" applyProtection="1">
      <alignment horizontal="center" vertical="center"/>
    </xf>
    <xf numFmtId="0" fontId="8" fillId="0" borderId="0" xfId="4" applyNumberFormat="1" applyFont="1" applyFill="1" applyBorder="1" applyAlignment="1" applyProtection="1">
      <alignment horizontal="center" vertical="center"/>
    </xf>
    <xf numFmtId="0" fontId="8" fillId="0" borderId="15" xfId="4" applyNumberFormat="1" applyFont="1" applyFill="1" applyBorder="1" applyAlignment="1" applyProtection="1">
      <alignment horizontal="center" vertical="center"/>
    </xf>
    <xf numFmtId="0" fontId="8" fillId="0" borderId="51" xfId="4" applyNumberFormat="1" applyFont="1" applyFill="1" applyBorder="1" applyAlignment="1" applyProtection="1">
      <alignment horizontal="left" vertical="center"/>
    </xf>
    <xf numFmtId="0" fontId="8" fillId="0" borderId="24" xfId="4" applyNumberFormat="1" applyFont="1" applyFill="1" applyBorder="1" applyAlignment="1" applyProtection="1">
      <alignment horizontal="left" vertical="center"/>
    </xf>
    <xf numFmtId="0" fontId="8" fillId="0" borderId="43" xfId="4" applyNumberFormat="1" applyFont="1" applyFill="1" applyBorder="1" applyAlignment="1" applyProtection="1">
      <alignment horizontal="left" vertical="center"/>
    </xf>
    <xf numFmtId="0" fontId="8" fillId="0" borderId="15" xfId="4" applyNumberFormat="1" applyFont="1" applyFill="1" applyBorder="1" applyAlignment="1" applyProtection="1">
      <alignment horizontal="left" vertical="center"/>
    </xf>
    <xf numFmtId="43" fontId="10" fillId="0" borderId="45" xfId="1" applyFont="1" applyFill="1" applyBorder="1" applyAlignment="1" applyProtection="1">
      <alignment horizontal="center" vertical="center"/>
    </xf>
    <xf numFmtId="43" fontId="10" fillId="0" borderId="31" xfId="1" applyFont="1" applyFill="1" applyBorder="1" applyAlignment="1" applyProtection="1">
      <alignment horizontal="center" vertical="center"/>
    </xf>
    <xf numFmtId="0" fontId="10" fillId="0" borderId="0" xfId="4" applyNumberFormat="1" applyFont="1" applyFill="1" applyBorder="1" applyAlignment="1" applyProtection="1">
      <alignment horizontal="center" vertical="center"/>
    </xf>
    <xf numFmtId="0" fontId="10" fillId="0" borderId="15" xfId="4" applyNumberFormat="1" applyFont="1" applyFill="1" applyBorder="1" applyAlignment="1" applyProtection="1">
      <alignment horizontal="center" vertical="center"/>
    </xf>
    <xf numFmtId="0" fontId="9" fillId="0" borderId="0" xfId="0" applyFont="1" applyAlignment="1">
      <alignment horizontal="left" vertical="center"/>
    </xf>
    <xf numFmtId="43" fontId="10" fillId="0" borderId="28" xfId="1" applyFont="1" applyFill="1" applyBorder="1" applyAlignment="1" applyProtection="1">
      <alignment horizontal="center" vertical="center"/>
    </xf>
    <xf numFmtId="43" fontId="10" fillId="0" borderId="4" xfId="1" applyFont="1" applyFill="1" applyBorder="1" applyAlignment="1" applyProtection="1">
      <alignment horizontal="center" vertical="center"/>
    </xf>
    <xf numFmtId="0" fontId="10" fillId="0" borderId="45" xfId="0" applyFont="1" applyBorder="1" applyAlignment="1">
      <alignment horizontal="justify" vertical="center" wrapText="1"/>
    </xf>
    <xf numFmtId="0" fontId="10" fillId="0" borderId="32" xfId="0" applyFont="1" applyBorder="1" applyAlignment="1">
      <alignment horizontal="justify" vertical="center" wrapText="1"/>
    </xf>
    <xf numFmtId="0" fontId="10" fillId="0" borderId="31" xfId="0" applyFont="1" applyBorder="1" applyAlignment="1">
      <alignment horizontal="justify" vertical="center" wrapText="1"/>
    </xf>
    <xf numFmtId="0" fontId="8" fillId="0" borderId="50" xfId="4" applyNumberFormat="1" applyFont="1" applyFill="1" applyBorder="1" applyAlignment="1" applyProtection="1">
      <alignment horizontal="center" vertical="center"/>
    </xf>
    <xf numFmtId="0" fontId="8" fillId="0" borderId="41" xfId="4" applyNumberFormat="1" applyFont="1" applyFill="1" applyBorder="1" applyAlignment="1" applyProtection="1">
      <alignment horizontal="center" vertical="center"/>
    </xf>
    <xf numFmtId="0" fontId="8" fillId="0" borderId="44" xfId="6" applyFont="1" applyBorder="1" applyAlignment="1">
      <alignment horizontal="center" vertical="center"/>
    </xf>
    <xf numFmtId="0" fontId="8" fillId="0" borderId="16" xfId="6" applyFont="1" applyBorder="1" applyAlignment="1">
      <alignment horizontal="center" vertical="center"/>
    </xf>
    <xf numFmtId="0" fontId="10" fillId="0" borderId="32" xfId="4" applyNumberFormat="1" applyFont="1" applyFill="1" applyBorder="1" applyAlignment="1" applyProtection="1">
      <alignment horizontal="center" vertical="center"/>
    </xf>
    <xf numFmtId="0" fontId="10" fillId="0" borderId="33" xfId="4" applyNumberFormat="1" applyFont="1" applyFill="1" applyBorder="1" applyAlignment="1" applyProtection="1">
      <alignment horizontal="center" vertical="center"/>
    </xf>
    <xf numFmtId="43" fontId="8" fillId="0" borderId="40" xfId="1" applyFont="1" applyFill="1" applyBorder="1" applyAlignment="1" applyProtection="1">
      <alignment horizontal="center" vertical="center"/>
    </xf>
    <xf numFmtId="0" fontId="10" fillId="0" borderId="60" xfId="0" applyFont="1" applyBorder="1" applyAlignment="1">
      <alignment horizontal="justify" vertical="center" wrapText="1"/>
    </xf>
    <xf numFmtId="0" fontId="10" fillId="0" borderId="38" xfId="0" applyFont="1" applyBorder="1" applyAlignment="1">
      <alignment horizontal="justify" vertical="center" wrapText="1"/>
    </xf>
    <xf numFmtId="0" fontId="10" fillId="0" borderId="6" xfId="0" applyFont="1" applyBorder="1" applyAlignment="1">
      <alignment horizontal="justify" vertical="center" wrapText="1"/>
    </xf>
    <xf numFmtId="0" fontId="10" fillId="0" borderId="45" xfId="0" applyFont="1" applyBorder="1" applyAlignment="1">
      <alignment horizontal="left" vertical="center"/>
    </xf>
    <xf numFmtId="0" fontId="10" fillId="0" borderId="33" xfId="0" applyFont="1" applyBorder="1" applyAlignment="1">
      <alignment horizontal="left" vertical="center"/>
    </xf>
    <xf numFmtId="0" fontId="10" fillId="0" borderId="43" xfId="0" applyFont="1" applyBorder="1" applyAlignment="1">
      <alignment horizontal="left" vertical="center"/>
    </xf>
    <xf numFmtId="0" fontId="10" fillId="0" borderId="15" xfId="0" applyFont="1" applyBorder="1" applyAlignment="1">
      <alignment horizontal="left" vertical="center"/>
    </xf>
    <xf numFmtId="0" fontId="10" fillId="0" borderId="45" xfId="4" applyNumberFormat="1" applyFont="1" applyFill="1" applyBorder="1" applyAlignment="1" applyProtection="1">
      <alignment horizontal="center" vertical="center"/>
    </xf>
    <xf numFmtId="0" fontId="8" fillId="0" borderId="56" xfId="1" applyNumberFormat="1" applyFont="1" applyFill="1" applyBorder="1" applyAlignment="1">
      <alignment horizontal="center" vertical="center"/>
    </xf>
    <xf numFmtId="0" fontId="8" fillId="0" borderId="34" xfId="1" applyNumberFormat="1" applyFont="1" applyFill="1" applyBorder="1" applyAlignment="1">
      <alignment horizontal="center" vertical="center"/>
    </xf>
    <xf numFmtId="0" fontId="8" fillId="0" borderId="42" xfId="1" applyNumberFormat="1" applyFont="1" applyFill="1" applyBorder="1" applyAlignment="1">
      <alignment horizontal="center" vertical="center"/>
    </xf>
    <xf numFmtId="0" fontId="8" fillId="0" borderId="20" xfId="1" applyNumberFormat="1" applyFont="1" applyFill="1" applyBorder="1" applyAlignment="1">
      <alignment horizontal="center" vertical="center"/>
    </xf>
    <xf numFmtId="0" fontId="8" fillId="0" borderId="28" xfId="1" applyNumberFormat="1" applyFont="1" applyFill="1" applyBorder="1" applyAlignment="1">
      <alignment horizontal="center" vertical="center"/>
    </xf>
    <xf numFmtId="0" fontId="8" fillId="0" borderId="35" xfId="1" applyNumberFormat="1" applyFont="1" applyFill="1" applyBorder="1" applyAlignment="1">
      <alignment horizontal="center" vertical="center"/>
    </xf>
    <xf numFmtId="0" fontId="8" fillId="0" borderId="13" xfId="1" applyNumberFormat="1" applyFont="1" applyFill="1" applyBorder="1" applyAlignment="1">
      <alignment horizontal="center" vertical="center"/>
    </xf>
    <xf numFmtId="0" fontId="14" fillId="0" borderId="32" xfId="0" applyFont="1" applyBorder="1" applyAlignment="1">
      <alignment horizontal="left" vertical="center"/>
    </xf>
    <xf numFmtId="0" fontId="10" fillId="0" borderId="43" xfId="3" applyFont="1" applyBorder="1" applyAlignment="1">
      <alignment horizontal="left" vertical="center"/>
    </xf>
    <xf numFmtId="0" fontId="10" fillId="0" borderId="0" xfId="3" applyFont="1" applyAlignment="1">
      <alignment horizontal="left" vertical="center"/>
    </xf>
    <xf numFmtId="0" fontId="10" fillId="0" borderId="15" xfId="3" applyFont="1" applyBorder="1" applyAlignment="1">
      <alignment horizontal="left" vertical="center"/>
    </xf>
    <xf numFmtId="43" fontId="10" fillId="0" borderId="45" xfId="1" applyFont="1" applyFill="1" applyBorder="1" applyAlignment="1">
      <alignment horizontal="right" vertical="center"/>
    </xf>
    <xf numFmtId="43" fontId="10" fillId="0" borderId="31" xfId="1" applyFont="1" applyFill="1" applyBorder="1" applyAlignment="1">
      <alignment horizontal="right" vertical="center"/>
    </xf>
    <xf numFmtId="43" fontId="8" fillId="0" borderId="50" xfId="1" applyFont="1" applyFill="1" applyBorder="1" applyAlignment="1">
      <alignment horizontal="right" vertical="center"/>
    </xf>
    <xf numFmtId="43" fontId="8" fillId="0" borderId="53" xfId="1" applyFont="1" applyFill="1" applyBorder="1" applyAlignment="1">
      <alignment horizontal="right" vertical="center"/>
    </xf>
    <xf numFmtId="43" fontId="8" fillId="0" borderId="41" xfId="1" applyFont="1" applyFill="1" applyBorder="1" applyAlignment="1">
      <alignment horizontal="right" vertical="center"/>
    </xf>
    <xf numFmtId="0" fontId="8" fillId="0" borderId="43" xfId="3" applyFont="1" applyBorder="1" applyAlignment="1">
      <alignment horizontal="right" vertical="center"/>
    </xf>
    <xf numFmtId="0" fontId="8" fillId="0" borderId="15" xfId="3" applyFont="1" applyBorder="1" applyAlignment="1">
      <alignment horizontal="right" vertical="center"/>
    </xf>
    <xf numFmtId="43" fontId="10" fillId="0" borderId="33" xfId="1" applyFont="1" applyFill="1" applyBorder="1" applyAlignment="1">
      <alignment horizontal="right" vertical="center"/>
    </xf>
    <xf numFmtId="0" fontId="10" fillId="0" borderId="45" xfId="3" applyFont="1" applyBorder="1" applyAlignment="1">
      <alignment horizontal="left" vertical="center"/>
    </xf>
    <xf numFmtId="0" fontId="10" fillId="0" borderId="32" xfId="3" applyFont="1" applyBorder="1" applyAlignment="1">
      <alignment horizontal="left" vertical="center"/>
    </xf>
    <xf numFmtId="0" fontId="10" fillId="0" borderId="33" xfId="3" applyFont="1" applyBorder="1" applyAlignment="1">
      <alignment horizontal="left" vertical="center"/>
    </xf>
    <xf numFmtId="0" fontId="8" fillId="0" borderId="50" xfId="3" applyFont="1" applyBorder="1" applyAlignment="1">
      <alignment horizontal="center" vertical="center"/>
    </xf>
    <xf numFmtId="0" fontId="8" fillId="0" borderId="40" xfId="3" applyFont="1" applyBorder="1" applyAlignment="1">
      <alignment horizontal="center" vertical="center"/>
    </xf>
    <xf numFmtId="0" fontId="8" fillId="0" borderId="41" xfId="3" applyFont="1" applyBorder="1" applyAlignment="1">
      <alignment horizontal="center" vertical="center"/>
    </xf>
    <xf numFmtId="0" fontId="8" fillId="0" borderId="28" xfId="3" applyFont="1" applyBorder="1" applyAlignment="1">
      <alignment horizontal="center" vertical="center"/>
    </xf>
    <xf numFmtId="0" fontId="8" fillId="0" borderId="35" xfId="3" applyFont="1" applyBorder="1" applyAlignment="1">
      <alignment horizontal="center" vertical="center"/>
    </xf>
    <xf numFmtId="0" fontId="8" fillId="0" borderId="13" xfId="3" applyFont="1" applyBorder="1" applyAlignment="1">
      <alignment horizontal="center" vertical="center"/>
    </xf>
    <xf numFmtId="0" fontId="8" fillId="0" borderId="51" xfId="3" applyFont="1" applyBorder="1" applyAlignment="1">
      <alignment horizontal="left" vertical="center"/>
    </xf>
    <xf numFmtId="0" fontId="8" fillId="0" borderId="36" xfId="3" applyFont="1" applyBorder="1" applyAlignment="1">
      <alignment horizontal="left" vertical="center"/>
    </xf>
    <xf numFmtId="0" fontId="8" fillId="0" borderId="24" xfId="3" applyFont="1" applyBorder="1" applyAlignment="1">
      <alignment horizontal="left" vertical="center"/>
    </xf>
    <xf numFmtId="0" fontId="8" fillId="0" borderId="28" xfId="1" applyNumberFormat="1" applyFont="1" applyFill="1" applyBorder="1" applyAlignment="1">
      <alignment horizontal="center" vertical="center" wrapText="1"/>
    </xf>
    <xf numFmtId="0" fontId="8" fillId="0" borderId="4" xfId="1" applyNumberFormat="1" applyFont="1" applyFill="1" applyBorder="1" applyAlignment="1">
      <alignment horizontal="center" vertical="center" wrapText="1"/>
    </xf>
    <xf numFmtId="0" fontId="10" fillId="0" borderId="51" xfId="3" applyFont="1" applyBorder="1" applyAlignment="1">
      <alignment horizontal="left" vertical="center"/>
    </xf>
    <xf numFmtId="0" fontId="10" fillId="0" borderId="36" xfId="3" applyFont="1" applyBorder="1" applyAlignment="1">
      <alignment horizontal="left" vertical="center"/>
    </xf>
    <xf numFmtId="0" fontId="10" fillId="0" borderId="24" xfId="3" applyFont="1" applyBorder="1" applyAlignment="1">
      <alignment horizontal="left" vertical="center"/>
    </xf>
    <xf numFmtId="0" fontId="8" fillId="0" borderId="43" xfId="3" applyFont="1" applyBorder="1" applyAlignment="1">
      <alignment horizontal="left" vertical="center"/>
    </xf>
    <xf numFmtId="0" fontId="8" fillId="0" borderId="0" xfId="3" applyFont="1" applyAlignment="1">
      <alignment horizontal="left" vertical="center"/>
    </xf>
    <xf numFmtId="0" fontId="8" fillId="0" borderId="15" xfId="3" applyFont="1" applyBorder="1" applyAlignment="1">
      <alignment horizontal="left" vertical="center"/>
    </xf>
    <xf numFmtId="0" fontId="8" fillId="0" borderId="13" xfId="1" applyNumberFormat="1" applyFont="1" applyFill="1" applyBorder="1" applyAlignment="1">
      <alignment horizontal="center" vertical="center" wrapText="1"/>
    </xf>
    <xf numFmtId="0" fontId="10" fillId="0" borderId="32" xfId="0" applyFont="1" applyBorder="1" applyAlignment="1">
      <alignment horizontal="left" vertical="center"/>
    </xf>
    <xf numFmtId="0" fontId="10" fillId="0" borderId="38" xfId="3" applyFont="1" applyBorder="1" applyAlignment="1">
      <alignment horizontal="left" vertical="center" wrapText="1"/>
    </xf>
    <xf numFmtId="0" fontId="8" fillId="0" borderId="34" xfId="0" applyFont="1" applyBorder="1" applyAlignment="1">
      <alignment horizontal="center" vertical="center"/>
    </xf>
    <xf numFmtId="0" fontId="8" fillId="0" borderId="32" xfId="0" applyFont="1" applyBorder="1" applyAlignment="1">
      <alignment horizontal="center" vertical="center"/>
    </xf>
    <xf numFmtId="0" fontId="10" fillId="0" borderId="45" xfId="3" applyFont="1" applyBorder="1" applyAlignment="1">
      <alignment horizontal="center" vertical="center"/>
    </xf>
    <xf numFmtId="0" fontId="10" fillId="0" borderId="33" xfId="3" applyFont="1" applyBorder="1" applyAlignment="1">
      <alignment horizontal="center" vertical="center"/>
    </xf>
    <xf numFmtId="0" fontId="9" fillId="0" borderId="51" xfId="3" applyFont="1" applyBorder="1" applyAlignment="1">
      <alignment horizontal="left" vertical="center"/>
    </xf>
    <xf numFmtId="0" fontId="9" fillId="0" borderId="36" xfId="3" applyFont="1" applyBorder="1" applyAlignment="1">
      <alignment horizontal="left" vertical="center"/>
    </xf>
    <xf numFmtId="0" fontId="9" fillId="0" borderId="24" xfId="3" applyFont="1" applyBorder="1" applyAlignment="1">
      <alignment horizontal="left" vertical="center"/>
    </xf>
    <xf numFmtId="0" fontId="8" fillId="0" borderId="40" xfId="0" applyFont="1" applyBorder="1" applyAlignment="1">
      <alignment horizontal="center" vertical="center"/>
    </xf>
    <xf numFmtId="0" fontId="8" fillId="0" borderId="28" xfId="3" applyFont="1" applyBorder="1" applyAlignment="1">
      <alignment horizontal="center" vertical="center" wrapText="1"/>
    </xf>
    <xf numFmtId="0" fontId="8" fillId="0" borderId="35" xfId="3" applyFont="1" applyBorder="1" applyAlignment="1">
      <alignment horizontal="center" vertical="center" wrapText="1"/>
    </xf>
    <xf numFmtId="0" fontId="8" fillId="0" borderId="13" xfId="3" applyFont="1" applyBorder="1" applyAlignment="1">
      <alignment horizontal="center" vertical="center" wrapText="1"/>
    </xf>
    <xf numFmtId="0" fontId="8" fillId="0" borderId="22" xfId="3" applyFont="1" applyBorder="1" applyAlignment="1">
      <alignment horizontal="left" vertical="center"/>
    </xf>
    <xf numFmtId="43" fontId="8" fillId="0" borderId="43" xfId="1" applyFont="1" applyFill="1" applyBorder="1" applyAlignment="1">
      <alignment horizontal="center" vertical="center"/>
    </xf>
    <xf numFmtId="43" fontId="8" fillId="0" borderId="15" xfId="1" applyFont="1" applyFill="1" applyBorder="1" applyAlignment="1">
      <alignment horizontal="center" vertical="center"/>
    </xf>
    <xf numFmtId="0" fontId="10" fillId="0" borderId="32" xfId="0" applyFont="1" applyBorder="1" applyAlignment="1">
      <alignment horizontal="center" vertical="center"/>
    </xf>
    <xf numFmtId="43" fontId="8" fillId="0" borderId="51" xfId="1" applyFont="1" applyFill="1" applyBorder="1" applyAlignment="1">
      <alignment horizontal="center" vertical="center"/>
    </xf>
    <xf numFmtId="43" fontId="8" fillId="0" borderId="49" xfId="1" applyFont="1" applyFill="1" applyBorder="1" applyAlignment="1">
      <alignment horizontal="center" vertical="center"/>
    </xf>
    <xf numFmtId="0" fontId="10" fillId="0" borderId="34" xfId="0" applyFont="1" applyBorder="1" applyAlignment="1">
      <alignment horizontal="center" vertical="center"/>
    </xf>
    <xf numFmtId="0" fontId="8" fillId="0" borderId="43" xfId="3" applyFont="1" applyBorder="1" applyAlignment="1">
      <alignment horizontal="center" vertical="center"/>
    </xf>
    <xf numFmtId="0" fontId="8" fillId="0" borderId="15" xfId="3" applyFont="1" applyBorder="1" applyAlignment="1">
      <alignment horizontal="center" vertical="center"/>
    </xf>
    <xf numFmtId="0" fontId="10" fillId="0" borderId="50" xfId="0" applyFont="1" applyBorder="1" applyAlignment="1">
      <alignment horizontal="center" vertical="center"/>
    </xf>
    <xf numFmtId="0" fontId="10" fillId="0" borderId="40" xfId="0" applyFont="1" applyBorder="1" applyAlignment="1">
      <alignment horizontal="center" vertical="center"/>
    </xf>
    <xf numFmtId="0" fontId="10" fillId="0" borderId="41" xfId="0" applyFont="1" applyBorder="1" applyAlignment="1">
      <alignment horizontal="center" vertical="center"/>
    </xf>
    <xf numFmtId="0" fontId="8" fillId="0" borderId="0" xfId="6" quotePrefix="1" applyFont="1" applyAlignment="1">
      <alignment horizontal="left" vertical="center"/>
    </xf>
    <xf numFmtId="0" fontId="8" fillId="0" borderId="22" xfId="0" applyFont="1" applyBorder="1" applyAlignment="1">
      <alignment horizontal="right" vertical="center"/>
    </xf>
    <xf numFmtId="0" fontId="8" fillId="0" borderId="22" xfId="4" applyNumberFormat="1" applyFont="1" applyFill="1" applyBorder="1" applyAlignment="1">
      <alignment horizontal="right" vertical="center"/>
    </xf>
    <xf numFmtId="0" fontId="6" fillId="0" borderId="22" xfId="0" applyFont="1" applyBorder="1" applyAlignment="1">
      <alignment horizontal="right" vertical="center"/>
    </xf>
    <xf numFmtId="0" fontId="8" fillId="0" borderId="22" xfId="6" applyFont="1" applyBorder="1" applyAlignment="1">
      <alignment horizontal="right" vertical="center"/>
    </xf>
    <xf numFmtId="0" fontId="12" fillId="0" borderId="0" xfId="4" applyNumberFormat="1" applyFont="1" applyFill="1" applyBorder="1" applyAlignment="1">
      <alignment horizontal="left" vertical="center"/>
    </xf>
    <xf numFmtId="0" fontId="8" fillId="0" borderId="43" xfId="4" applyNumberFormat="1" applyFont="1" applyFill="1" applyBorder="1" applyAlignment="1">
      <alignment horizontal="left" vertical="center"/>
    </xf>
    <xf numFmtId="0" fontId="10" fillId="0" borderId="45" xfId="4" applyNumberFormat="1" applyFont="1" applyFill="1" applyBorder="1" applyAlignment="1">
      <alignment horizontal="left" vertical="center"/>
    </xf>
    <xf numFmtId="0" fontId="10" fillId="0" borderId="32" xfId="4" applyNumberFormat="1" applyFont="1" applyFill="1" applyBorder="1" applyAlignment="1">
      <alignment horizontal="left" vertical="center"/>
    </xf>
    <xf numFmtId="0" fontId="10" fillId="0" borderId="33" xfId="4" applyNumberFormat="1" applyFont="1" applyFill="1" applyBorder="1" applyAlignment="1">
      <alignment horizontal="left" vertical="center"/>
    </xf>
    <xf numFmtId="0" fontId="8" fillId="0" borderId="44" xfId="4" applyNumberFormat="1" applyFont="1" applyFill="1" applyBorder="1" applyAlignment="1">
      <alignment horizontal="left" vertical="center"/>
    </xf>
    <xf numFmtId="167" fontId="10" fillId="0" borderId="43" xfId="1" applyNumberFormat="1" applyFont="1" applyFill="1" applyBorder="1" applyAlignment="1">
      <alignment horizontal="right" vertical="center"/>
    </xf>
    <xf numFmtId="167" fontId="10" fillId="0" borderId="15" xfId="1" applyNumberFormat="1" applyFont="1" applyFill="1" applyBorder="1" applyAlignment="1">
      <alignment horizontal="right" vertical="center"/>
    </xf>
    <xf numFmtId="43" fontId="8" fillId="0" borderId="45" xfId="1" applyFont="1" applyFill="1" applyBorder="1" applyAlignment="1">
      <alignment horizontal="center" vertical="center"/>
    </xf>
    <xf numFmtId="43" fontId="8" fillId="0" borderId="33" xfId="1" applyFont="1" applyFill="1" applyBorder="1" applyAlignment="1">
      <alignment horizontal="center" vertical="center"/>
    </xf>
    <xf numFmtId="43" fontId="8" fillId="0" borderId="44" xfId="1" applyFont="1" applyFill="1" applyBorder="1" applyAlignment="1">
      <alignment horizontal="center" vertical="center"/>
    </xf>
    <xf numFmtId="43" fontId="8" fillId="0" borderId="16" xfId="1" applyFont="1" applyFill="1" applyBorder="1" applyAlignment="1">
      <alignment horizontal="center" vertical="center"/>
    </xf>
    <xf numFmtId="0" fontId="10" fillId="0" borderId="43" xfId="4" applyNumberFormat="1" applyFont="1" applyFill="1" applyBorder="1" applyAlignment="1">
      <alignment horizontal="left" vertical="center"/>
    </xf>
    <xf numFmtId="0" fontId="8" fillId="0" borderId="3" xfId="4" applyNumberFormat="1" applyFont="1" applyFill="1" applyBorder="1" applyAlignment="1">
      <alignment horizontal="center" vertical="center"/>
    </xf>
    <xf numFmtId="0" fontId="8" fillId="0" borderId="35" xfId="4" applyNumberFormat="1" applyFont="1" applyFill="1" applyBorder="1" applyAlignment="1">
      <alignment horizontal="center" vertical="center"/>
    </xf>
    <xf numFmtId="0" fontId="8" fillId="0" borderId="13" xfId="4" applyNumberFormat="1" applyFont="1" applyFill="1" applyBorder="1" applyAlignment="1">
      <alignment horizontal="center" vertical="center"/>
    </xf>
    <xf numFmtId="43" fontId="10" fillId="0" borderId="0" xfId="1" applyFont="1" applyFill="1" applyBorder="1" applyAlignment="1">
      <alignment horizontal="right" vertical="center"/>
    </xf>
    <xf numFmtId="0" fontId="8" fillId="0" borderId="4" xfId="4" applyNumberFormat="1" applyFont="1" applyFill="1" applyBorder="1" applyAlignment="1">
      <alignment horizontal="center" vertical="center"/>
    </xf>
    <xf numFmtId="0" fontId="10" fillId="0" borderId="34" xfId="4" applyNumberFormat="1" applyFont="1" applyFill="1" applyBorder="1" applyAlignment="1">
      <alignment horizontal="left" vertical="center"/>
    </xf>
    <xf numFmtId="0" fontId="10" fillId="0" borderId="50" xfId="0" applyFont="1" applyBorder="1" applyAlignment="1">
      <alignment horizontal="left" vertical="center"/>
    </xf>
    <xf numFmtId="0" fontId="10" fillId="0" borderId="40" xfId="0" applyFont="1" applyBorder="1" applyAlignment="1">
      <alignment horizontal="left" vertical="center"/>
    </xf>
    <xf numFmtId="0" fontId="10" fillId="0" borderId="41" xfId="0" applyFont="1" applyBorder="1" applyAlignment="1">
      <alignment horizontal="left" vertical="center"/>
    </xf>
    <xf numFmtId="165" fontId="8" fillId="0" borderId="56" xfId="0" applyNumberFormat="1" applyFont="1" applyBorder="1" applyAlignment="1">
      <alignment horizontal="center" vertical="center" wrapText="1"/>
    </xf>
    <xf numFmtId="165" fontId="8" fillId="0" borderId="42" xfId="0" applyNumberFormat="1" applyFont="1" applyBorder="1" applyAlignment="1">
      <alignment horizontal="center" vertical="center" wrapText="1"/>
    </xf>
    <xf numFmtId="165" fontId="8" fillId="0" borderId="45" xfId="0" applyNumberFormat="1" applyFont="1" applyBorder="1" applyAlignment="1">
      <alignment horizontal="center" vertical="center" wrapText="1"/>
    </xf>
    <xf numFmtId="165" fontId="8" fillId="0" borderId="33" xfId="0" applyNumberFormat="1" applyFont="1" applyBorder="1" applyAlignment="1">
      <alignment horizontal="center" vertical="center" wrapText="1"/>
    </xf>
    <xf numFmtId="165" fontId="8" fillId="0" borderId="20" xfId="0" applyNumberFormat="1" applyFont="1" applyBorder="1" applyAlignment="1">
      <alignment horizontal="center" vertical="center" wrapText="1"/>
    </xf>
    <xf numFmtId="165" fontId="8" fillId="0" borderId="31" xfId="0" applyNumberFormat="1" applyFont="1" applyBorder="1" applyAlignment="1">
      <alignment horizontal="center" vertical="center" wrapText="1"/>
    </xf>
    <xf numFmtId="0" fontId="8" fillId="0" borderId="3" xfId="0" applyFont="1" applyBorder="1" applyAlignment="1">
      <alignment horizontal="center" vertical="center"/>
    </xf>
    <xf numFmtId="43" fontId="8" fillId="0" borderId="43" xfId="1" applyFont="1" applyBorder="1" applyAlignment="1">
      <alignment horizontal="right" vertical="center"/>
    </xf>
    <xf numFmtId="43" fontId="8" fillId="0" borderId="1" xfId="1" applyFont="1" applyBorder="1" applyAlignment="1">
      <alignment horizontal="right" vertical="center"/>
    </xf>
    <xf numFmtId="0" fontId="10" fillId="0" borderId="59" xfId="0" applyFont="1" applyBorder="1" applyAlignment="1">
      <alignment horizontal="left" vertical="center"/>
    </xf>
    <xf numFmtId="0" fontId="10" fillId="0" borderId="21" xfId="0" applyFont="1" applyBorder="1" applyAlignment="1">
      <alignment horizontal="left" vertical="center"/>
    </xf>
    <xf numFmtId="0" fontId="10" fillId="0" borderId="22" xfId="0" applyFont="1" applyBorder="1" applyAlignment="1">
      <alignment horizontal="left" vertical="center"/>
    </xf>
    <xf numFmtId="0" fontId="10" fillId="0" borderId="16" xfId="0" applyFont="1" applyBorder="1" applyAlignment="1">
      <alignment horizontal="left" vertical="center"/>
    </xf>
    <xf numFmtId="43" fontId="10" fillId="0" borderId="43" xfId="0" applyNumberFormat="1" applyFont="1" applyBorder="1" applyAlignment="1">
      <alignment horizontal="center" vertical="center"/>
    </xf>
    <xf numFmtId="0" fontId="10" fillId="0" borderId="15" xfId="0" applyFont="1" applyBorder="1" applyAlignment="1">
      <alignment horizontal="center" vertical="center"/>
    </xf>
    <xf numFmtId="10" fontId="10" fillId="0" borderId="44" xfId="2" applyNumberFormat="1" applyFont="1" applyBorder="1" applyAlignment="1">
      <alignment horizontal="right" vertical="center"/>
    </xf>
    <xf numFmtId="10" fontId="10" fillId="0" borderId="16" xfId="2" applyNumberFormat="1" applyFont="1" applyBorder="1" applyAlignment="1">
      <alignment horizontal="right" vertical="center"/>
    </xf>
    <xf numFmtId="43" fontId="8" fillId="0" borderId="38" xfId="0" applyNumberFormat="1" applyFont="1" applyBorder="1" applyAlignment="1">
      <alignment horizontal="center" vertical="center"/>
    </xf>
    <xf numFmtId="0" fontId="8" fillId="0" borderId="6" xfId="0" applyFont="1" applyBorder="1" applyAlignment="1">
      <alignment horizontal="center" vertical="center"/>
    </xf>
    <xf numFmtId="43" fontId="10" fillId="0" borderId="0" xfId="0" applyNumberFormat="1" applyFont="1" applyAlignment="1">
      <alignment horizontal="center" vertical="center"/>
    </xf>
    <xf numFmtId="0" fontId="10" fillId="0" borderId="1" xfId="0" applyFont="1" applyBorder="1" applyAlignment="1">
      <alignment horizontal="center" vertical="center"/>
    </xf>
    <xf numFmtId="10" fontId="10" fillId="0" borderId="0" xfId="2" applyNumberFormat="1" applyFont="1" applyAlignment="1">
      <alignment horizontal="right" vertical="center"/>
    </xf>
    <xf numFmtId="10" fontId="10" fillId="0" borderId="1" xfId="2" applyNumberFormat="1" applyFont="1" applyBorder="1" applyAlignment="1">
      <alignment horizontal="right" vertical="center"/>
    </xf>
    <xf numFmtId="43" fontId="8" fillId="0" borderId="60" xfId="0" applyNumberFormat="1" applyFont="1" applyBorder="1" applyAlignment="1">
      <alignment horizontal="center" vertical="center"/>
    </xf>
    <xf numFmtId="0" fontId="8" fillId="0" borderId="14" xfId="0" applyFont="1" applyBorder="1" applyAlignment="1">
      <alignment horizontal="center" vertical="center"/>
    </xf>
    <xf numFmtId="43" fontId="10" fillId="0" borderId="51" xfId="1" applyFont="1" applyFill="1" applyBorder="1" applyAlignment="1">
      <alignment horizontal="right" vertical="center"/>
    </xf>
    <xf numFmtId="43" fontId="10" fillId="0" borderId="49" xfId="1" applyFont="1" applyFill="1" applyBorder="1" applyAlignment="1">
      <alignment horizontal="right" vertical="center"/>
    </xf>
    <xf numFmtId="43" fontId="10" fillId="0" borderId="22" xfId="1" applyFont="1" applyFill="1" applyBorder="1" applyAlignment="1">
      <alignment horizontal="center" vertical="center"/>
    </xf>
    <xf numFmtId="43" fontId="10" fillId="0" borderId="2" xfId="1" applyFont="1" applyFill="1" applyBorder="1" applyAlignment="1">
      <alignment horizontal="center" vertical="center"/>
    </xf>
    <xf numFmtId="0" fontId="7" fillId="0" borderId="0" xfId="0" applyFont="1" applyAlignment="1">
      <alignment horizontal="justify" vertical="center"/>
    </xf>
    <xf numFmtId="0" fontId="10" fillId="0" borderId="0" xfId="0" applyFont="1" applyAlignment="1">
      <alignment horizontal="justify" vertical="top"/>
    </xf>
    <xf numFmtId="0" fontId="8" fillId="0" borderId="43" xfId="0" applyFont="1" applyBorder="1" applyAlignment="1">
      <alignment horizontal="left" vertical="center"/>
    </xf>
    <xf numFmtId="0" fontId="8" fillId="0" borderId="15" xfId="0" applyFont="1" applyBorder="1" applyAlignment="1">
      <alignment horizontal="left" vertical="center"/>
    </xf>
    <xf numFmtId="43" fontId="10" fillId="0" borderId="43" xfId="1" applyFont="1" applyBorder="1" applyAlignment="1">
      <alignment horizontal="right" vertical="center"/>
    </xf>
    <xf numFmtId="43" fontId="10" fillId="0" borderId="15" xfId="1" applyFont="1" applyBorder="1" applyAlignment="1">
      <alignment horizontal="right" vertical="center"/>
    </xf>
    <xf numFmtId="43" fontId="10" fillId="0" borderId="1" xfId="1" applyFont="1" applyBorder="1" applyAlignment="1">
      <alignment horizontal="right" vertical="center"/>
    </xf>
    <xf numFmtId="0" fontId="10" fillId="0" borderId="0" xfId="0" applyFont="1" applyAlignment="1">
      <alignment horizontal="center" vertical="center"/>
    </xf>
    <xf numFmtId="43" fontId="8" fillId="0" borderId="22" xfId="1" applyFont="1" applyFill="1" applyBorder="1" applyAlignment="1">
      <alignment horizontal="center" vertical="center"/>
    </xf>
    <xf numFmtId="43" fontId="8" fillId="0" borderId="2" xfId="1" applyFont="1" applyFill="1" applyBorder="1" applyAlignment="1">
      <alignment horizontal="center" vertical="center"/>
    </xf>
    <xf numFmtId="0" fontId="8" fillId="0" borderId="59" xfId="0" applyFont="1" applyBorder="1" applyAlignment="1">
      <alignment horizontal="left" vertical="center"/>
    </xf>
    <xf numFmtId="0" fontId="9" fillId="0" borderId="59" xfId="0" applyFont="1" applyBorder="1" applyAlignment="1">
      <alignment horizontal="left" vertical="center"/>
    </xf>
    <xf numFmtId="0" fontId="9" fillId="0" borderId="15" xfId="0" applyFont="1" applyBorder="1" applyAlignment="1">
      <alignment horizontal="left" vertical="center"/>
    </xf>
    <xf numFmtId="0" fontId="8" fillId="0" borderId="44" xfId="4" applyNumberFormat="1" applyFont="1" applyFill="1" applyBorder="1" applyAlignment="1">
      <alignment horizontal="center" vertical="center"/>
    </xf>
    <xf numFmtId="0" fontId="8" fillId="0" borderId="22" xfId="4" applyNumberFormat="1" applyFont="1" applyFill="1" applyBorder="1" applyAlignment="1">
      <alignment horizontal="center" vertical="center"/>
    </xf>
    <xf numFmtId="0" fontId="8" fillId="0" borderId="16" xfId="4" applyNumberFormat="1" applyFont="1" applyFill="1" applyBorder="1" applyAlignment="1">
      <alignment horizontal="center" vertical="center"/>
    </xf>
    <xf numFmtId="43" fontId="8" fillId="0" borderId="0" xfId="1" applyFont="1" applyFill="1" applyBorder="1" applyAlignment="1">
      <alignment horizontal="center" vertical="center"/>
    </xf>
    <xf numFmtId="43" fontId="8" fillId="0" borderId="1" xfId="1" applyFont="1" applyFill="1" applyBorder="1" applyAlignment="1">
      <alignment horizontal="center" vertical="center"/>
    </xf>
    <xf numFmtId="0" fontId="8" fillId="0" borderId="51" xfId="0" applyFont="1" applyBorder="1" applyAlignment="1">
      <alignment horizontal="left" vertical="center"/>
    </xf>
    <xf numFmtId="0" fontId="8" fillId="0" borderId="36" xfId="0" applyFont="1" applyBorder="1" applyAlignment="1">
      <alignment horizontal="left" vertical="center"/>
    </xf>
    <xf numFmtId="0" fontId="8" fillId="0" borderId="24" xfId="0" applyFont="1" applyBorder="1" applyAlignment="1">
      <alignment horizontal="left" vertical="center"/>
    </xf>
    <xf numFmtId="0" fontId="8" fillId="0" borderId="43" xfId="0" applyFont="1" applyBorder="1" applyAlignment="1">
      <alignment horizontal="center" vertical="center"/>
    </xf>
    <xf numFmtId="0" fontId="8" fillId="0" borderId="1" xfId="0" applyFont="1" applyBorder="1" applyAlignment="1">
      <alignment horizontal="center" vertical="center"/>
    </xf>
    <xf numFmtId="43" fontId="10" fillId="0" borderId="51" xfId="1" applyFont="1" applyBorder="1" applyAlignment="1">
      <alignment horizontal="right" vertical="center"/>
    </xf>
    <xf numFmtId="43" fontId="10" fillId="0" borderId="24" xfId="1" applyFont="1" applyBorder="1" applyAlignment="1">
      <alignment horizontal="right" vertical="center"/>
    </xf>
    <xf numFmtId="43" fontId="10" fillId="0" borderId="49" xfId="1" applyFont="1" applyBorder="1" applyAlignment="1">
      <alignment horizontal="right" vertical="center"/>
    </xf>
    <xf numFmtId="0" fontId="10" fillId="0" borderId="44" xfId="0" applyFont="1" applyBorder="1" applyAlignment="1">
      <alignment horizontal="left" vertical="center"/>
    </xf>
    <xf numFmtId="43" fontId="10" fillId="0" borderId="44" xfId="1" applyFont="1" applyFill="1" applyBorder="1" applyAlignment="1">
      <alignment horizontal="right" vertical="center"/>
    </xf>
    <xf numFmtId="43" fontId="10" fillId="0" borderId="16" xfId="1" applyFont="1" applyFill="1" applyBorder="1" applyAlignment="1">
      <alignment horizontal="right" vertical="center"/>
    </xf>
    <xf numFmtId="43" fontId="10" fillId="0" borderId="2" xfId="1" applyFont="1" applyFill="1" applyBorder="1" applyAlignment="1">
      <alignment horizontal="right" vertical="center"/>
    </xf>
    <xf numFmtId="0" fontId="8" fillId="0" borderId="35" xfId="8" applyNumberFormat="1" applyFont="1" applyFill="1" applyBorder="1" applyAlignment="1">
      <alignment horizontal="center" vertical="center" wrapText="1"/>
    </xf>
    <xf numFmtId="0" fontId="8" fillId="0" borderId="4" xfId="8" applyNumberFormat="1" applyFont="1" applyFill="1" applyBorder="1" applyAlignment="1">
      <alignment horizontal="center" vertical="center" wrapText="1"/>
    </xf>
    <xf numFmtId="0" fontId="8" fillId="0" borderId="0" xfId="0" applyFont="1" applyAlignment="1">
      <alignment horizontal="right" vertical="center"/>
    </xf>
    <xf numFmtId="0" fontId="8" fillId="0" borderId="1" xfId="0" applyFont="1" applyBorder="1" applyAlignment="1">
      <alignment horizontal="right" vertical="center"/>
    </xf>
    <xf numFmtId="43" fontId="10" fillId="0" borderId="0" xfId="0" applyNumberFormat="1" applyFont="1" applyAlignment="1">
      <alignment horizontal="right" vertical="center"/>
    </xf>
    <xf numFmtId="0" fontId="10" fillId="0" borderId="1" xfId="0" applyFont="1" applyBorder="1" applyAlignment="1">
      <alignment horizontal="right" vertical="center"/>
    </xf>
    <xf numFmtId="43" fontId="10" fillId="0" borderId="0" xfId="1" applyFont="1" applyBorder="1" applyAlignment="1">
      <alignment horizontal="right" vertical="center"/>
    </xf>
    <xf numFmtId="0" fontId="10" fillId="0" borderId="37" xfId="0" applyFont="1" applyBorder="1" applyAlignment="1">
      <alignment horizontal="left" vertical="center"/>
    </xf>
    <xf numFmtId="43" fontId="10" fillId="0" borderId="32" xfId="1" applyFont="1" applyBorder="1" applyAlignment="1">
      <alignment horizontal="center" vertical="center"/>
    </xf>
    <xf numFmtId="43" fontId="8" fillId="0" borderId="32" xfId="0" applyNumberFormat="1" applyFont="1" applyBorder="1" applyAlignment="1">
      <alignment horizontal="center" vertical="center"/>
    </xf>
    <xf numFmtId="43" fontId="8" fillId="0" borderId="33" xfId="0" applyNumberFormat="1" applyFont="1" applyBorder="1" applyAlignment="1">
      <alignment horizontal="center" vertical="center"/>
    </xf>
    <xf numFmtId="0" fontId="8" fillId="0" borderId="37" xfId="0" applyFont="1" applyBorder="1" applyAlignment="1">
      <alignment horizontal="left" vertical="center"/>
    </xf>
    <xf numFmtId="0" fontId="8" fillId="0" borderId="32" xfId="0" applyFont="1" applyBorder="1" applyAlignment="1">
      <alignment horizontal="left" vertical="center"/>
    </xf>
    <xf numFmtId="0" fontId="8" fillId="0" borderId="33" xfId="0" applyFont="1" applyBorder="1" applyAlignment="1">
      <alignment horizontal="left" vertical="center"/>
    </xf>
    <xf numFmtId="43" fontId="8" fillId="0" borderId="32" xfId="1" applyFont="1" applyFill="1" applyBorder="1" applyAlignment="1">
      <alignment horizontal="center" vertical="center"/>
    </xf>
    <xf numFmtId="43" fontId="8" fillId="0" borderId="31" xfId="1" applyFont="1" applyFill="1" applyBorder="1" applyAlignment="1">
      <alignment horizontal="center" vertical="center"/>
    </xf>
    <xf numFmtId="43" fontId="10" fillId="0" borderId="44" xfId="1" applyFont="1" applyBorder="1" applyAlignment="1">
      <alignment horizontal="right" vertical="center"/>
    </xf>
    <xf numFmtId="43" fontId="10" fillId="0" borderId="2" xfId="1" applyFont="1" applyBorder="1" applyAlignment="1">
      <alignment horizontal="right" vertical="center"/>
    </xf>
    <xf numFmtId="43" fontId="10" fillId="0" borderId="15" xfId="0" applyNumberFormat="1" applyFont="1" applyBorder="1" applyAlignment="1">
      <alignment horizontal="center" vertical="center"/>
    </xf>
    <xf numFmtId="43" fontId="10" fillId="0" borderId="32" xfId="0" applyNumberFormat="1" applyFont="1" applyBorder="1" applyAlignment="1">
      <alignment horizontal="center" vertical="center"/>
    </xf>
    <xf numFmtId="43" fontId="10" fillId="0" borderId="33" xfId="0" applyNumberFormat="1" applyFont="1" applyBorder="1" applyAlignment="1">
      <alignment horizontal="center" vertical="center"/>
    </xf>
    <xf numFmtId="43" fontId="8" fillId="0" borderId="14" xfId="0" applyNumberFormat="1" applyFont="1" applyBorder="1" applyAlignment="1">
      <alignment horizontal="center" vertical="center"/>
    </xf>
    <xf numFmtId="0" fontId="8" fillId="0" borderId="38" xfId="0" applyFont="1" applyBorder="1" applyAlignment="1">
      <alignment horizontal="center" vertical="center"/>
    </xf>
    <xf numFmtId="43" fontId="10" fillId="0" borderId="32" xfId="1" applyFont="1" applyFill="1" applyBorder="1" applyAlignment="1">
      <alignment horizontal="right" vertical="center"/>
    </xf>
    <xf numFmtId="0" fontId="10" fillId="0" borderId="43" xfId="8" applyNumberFormat="1" applyFont="1" applyFill="1" applyBorder="1" applyAlignment="1">
      <alignment horizontal="left" vertical="center"/>
    </xf>
    <xf numFmtId="0" fontId="10" fillId="0" borderId="0" xfId="8" applyNumberFormat="1" applyFont="1" applyFill="1" applyBorder="1" applyAlignment="1">
      <alignment horizontal="left" vertical="center"/>
    </xf>
    <xf numFmtId="0" fontId="10" fillId="0" borderId="15" xfId="8" applyNumberFormat="1" applyFont="1" applyFill="1" applyBorder="1" applyAlignment="1">
      <alignment horizontal="left" vertical="center"/>
    </xf>
    <xf numFmtId="0" fontId="8" fillId="0" borderId="28" xfId="8" applyNumberFormat="1" applyFont="1" applyFill="1" applyBorder="1" applyAlignment="1">
      <alignment horizontal="center" vertical="center" wrapText="1"/>
    </xf>
    <xf numFmtId="0" fontId="8" fillId="0" borderId="13" xfId="8" applyNumberFormat="1" applyFont="1" applyFill="1" applyBorder="1" applyAlignment="1">
      <alignment horizontal="center" vertical="center" wrapText="1"/>
    </xf>
    <xf numFmtId="43" fontId="10" fillId="0" borderId="24" xfId="1" applyFont="1" applyFill="1" applyBorder="1" applyAlignment="1">
      <alignment horizontal="right" vertical="center"/>
    </xf>
    <xf numFmtId="0" fontId="26" fillId="0" borderId="0" xfId="0" applyFont="1" applyAlignment="1">
      <alignment horizontal="left" vertical="center"/>
    </xf>
    <xf numFmtId="0" fontId="10" fillId="0" borderId="0" xfId="0" applyFont="1" applyAlignment="1">
      <alignment horizontal="justify" vertical="center"/>
    </xf>
    <xf numFmtId="0" fontId="8" fillId="0" borderId="3" xfId="0" applyFont="1" applyBorder="1" applyAlignment="1">
      <alignment horizontal="left" vertical="center"/>
    </xf>
    <xf numFmtId="0" fontId="8" fillId="0" borderId="35" xfId="0" applyFont="1" applyBorder="1" applyAlignment="1">
      <alignment horizontal="left" vertical="center"/>
    </xf>
    <xf numFmtId="0" fontId="8" fillId="0" borderId="13" xfId="0" applyFont="1" applyBorder="1" applyAlignment="1">
      <alignment horizontal="left" vertical="center"/>
    </xf>
    <xf numFmtId="0" fontId="8" fillId="0" borderId="21" xfId="0" applyFont="1" applyBorder="1" applyAlignment="1">
      <alignment horizontal="left" vertical="center"/>
    </xf>
    <xf numFmtId="0" fontId="8" fillId="0" borderId="16" xfId="0" applyFont="1" applyBorder="1" applyAlignment="1">
      <alignment horizontal="left" vertical="center"/>
    </xf>
    <xf numFmtId="0" fontId="9" fillId="0" borderId="34" xfId="0" applyFont="1" applyBorder="1" applyAlignment="1">
      <alignment horizontal="left" vertical="center"/>
    </xf>
    <xf numFmtId="165" fontId="8" fillId="0" borderId="17" xfId="0" applyNumberFormat="1" applyFont="1" applyBorder="1" applyAlignment="1">
      <alignment horizontal="center" vertical="center" wrapText="1"/>
    </xf>
    <xf numFmtId="10" fontId="10" fillId="0" borderId="22" xfId="2" applyNumberFormat="1" applyFont="1" applyBorder="1" applyAlignment="1">
      <alignment horizontal="right" vertical="center"/>
    </xf>
    <xf numFmtId="10" fontId="10" fillId="0" borderId="2" xfId="2" applyNumberFormat="1" applyFont="1" applyBorder="1" applyAlignment="1">
      <alignment horizontal="right" vertical="center"/>
    </xf>
    <xf numFmtId="43" fontId="8" fillId="0" borderId="28" xfId="1" applyFont="1" applyFill="1" applyBorder="1" applyAlignment="1" applyProtection="1">
      <alignment horizontal="center" vertical="center" wrapText="1"/>
    </xf>
    <xf numFmtId="43" fontId="8" fillId="0" borderId="13" xfId="1" applyFont="1" applyFill="1" applyBorder="1" applyAlignment="1" applyProtection="1">
      <alignment horizontal="center" vertical="center" wrapText="1"/>
    </xf>
    <xf numFmtId="43" fontId="8" fillId="0" borderId="35" xfId="1" applyFont="1" applyFill="1" applyBorder="1" applyAlignment="1" applyProtection="1">
      <alignment horizontal="center" vertical="center" wrapText="1"/>
    </xf>
    <xf numFmtId="43" fontId="8" fillId="0" borderId="4" xfId="1" applyFont="1" applyFill="1" applyBorder="1" applyAlignment="1" applyProtection="1">
      <alignment horizontal="center" vertical="center" wrapText="1"/>
    </xf>
    <xf numFmtId="0" fontId="8" fillId="0" borderId="35" xfId="4" applyNumberFormat="1" applyFont="1" applyFill="1" applyBorder="1" applyAlignment="1" applyProtection="1">
      <alignment horizontal="center" vertical="center"/>
    </xf>
    <xf numFmtId="43" fontId="10" fillId="0" borderId="16" xfId="1" applyFont="1" applyBorder="1" applyAlignment="1">
      <alignment horizontal="right" vertical="center"/>
    </xf>
    <xf numFmtId="0" fontId="15" fillId="0" borderId="0" xfId="0" applyFont="1" applyAlignment="1">
      <alignment horizontal="left" vertical="center"/>
    </xf>
    <xf numFmtId="0" fontId="10" fillId="0" borderId="0" xfId="0" applyFont="1" applyAlignment="1">
      <alignment horizontal="justify" vertical="center" wrapText="1"/>
    </xf>
    <xf numFmtId="10" fontId="10" fillId="0" borderId="43" xfId="2" applyNumberFormat="1" applyFont="1" applyBorder="1" applyAlignment="1">
      <alignment horizontal="right" vertical="center"/>
    </xf>
    <xf numFmtId="10" fontId="10" fillId="0" borderId="15" xfId="2" applyNumberFormat="1" applyFont="1" applyBorder="1" applyAlignment="1">
      <alignment horizontal="right" vertical="center"/>
    </xf>
    <xf numFmtId="0" fontId="10" fillId="0" borderId="43" xfId="0" applyFont="1" applyBorder="1" applyAlignment="1">
      <alignment horizontal="center" vertical="center"/>
    </xf>
    <xf numFmtId="0" fontId="10" fillId="0" borderId="0" xfId="0" applyFont="1" applyAlignment="1">
      <alignment horizontal="right" vertical="center"/>
    </xf>
    <xf numFmtId="0" fontId="10" fillId="0" borderId="60" xfId="0" applyFont="1" applyBorder="1" applyAlignment="1">
      <alignment horizontal="left" vertical="center"/>
    </xf>
    <xf numFmtId="0" fontId="10" fillId="0" borderId="38" xfId="0" applyFont="1" applyBorder="1" applyAlignment="1">
      <alignment horizontal="left" vertical="center"/>
    </xf>
    <xf numFmtId="0" fontId="10" fillId="0" borderId="14" xfId="0" applyFont="1" applyBorder="1" applyAlignment="1">
      <alignment horizontal="left" vertical="center"/>
    </xf>
    <xf numFmtId="0" fontId="10" fillId="0" borderId="60" xfId="0" applyFont="1" applyBorder="1" applyAlignment="1">
      <alignment horizontal="left" vertical="center" wrapText="1"/>
    </xf>
    <xf numFmtId="0" fontId="10" fillId="0" borderId="38" xfId="0" applyFont="1" applyBorder="1" applyAlignment="1">
      <alignment horizontal="left" vertical="center" wrapText="1"/>
    </xf>
    <xf numFmtId="0" fontId="10" fillId="0" borderId="14" xfId="0" applyFont="1" applyBorder="1" applyAlignment="1">
      <alignment horizontal="left" vertical="center" wrapText="1"/>
    </xf>
    <xf numFmtId="0" fontId="10" fillId="0" borderId="59" xfId="0" applyFont="1" applyBorder="1" applyAlignment="1">
      <alignment horizontal="justify" vertical="center"/>
    </xf>
    <xf numFmtId="0" fontId="10" fillId="0" borderId="15" xfId="0" applyFont="1" applyBorder="1" applyAlignment="1">
      <alignment horizontal="justify" vertical="center"/>
    </xf>
    <xf numFmtId="165" fontId="8" fillId="0" borderId="71" xfId="0" applyNumberFormat="1" applyFont="1" applyBorder="1" applyAlignment="1">
      <alignment horizontal="center" vertical="center" wrapText="1"/>
    </xf>
    <xf numFmtId="0" fontId="6" fillId="0" borderId="0" xfId="0" applyFont="1" applyAlignment="1">
      <alignment horizontal="left" vertical="center"/>
    </xf>
    <xf numFmtId="0" fontId="10" fillId="0" borderId="0" xfId="4" applyNumberFormat="1" applyFont="1" applyFill="1" applyBorder="1" applyAlignment="1">
      <alignment horizontal="left" vertical="center" wrapText="1"/>
    </xf>
    <xf numFmtId="0" fontId="10" fillId="0" borderId="15" xfId="4" applyNumberFormat="1" applyFont="1" applyFill="1" applyBorder="1" applyAlignment="1">
      <alignment horizontal="left" vertical="center" wrapText="1"/>
    </xf>
    <xf numFmtId="0" fontId="10" fillId="0" borderId="22" xfId="4" applyNumberFormat="1" applyFont="1" applyFill="1" applyBorder="1" applyAlignment="1">
      <alignment horizontal="left" vertical="center" wrapText="1"/>
    </xf>
    <xf numFmtId="0" fontId="10" fillId="0" borderId="16" xfId="4" applyNumberFormat="1" applyFont="1" applyFill="1" applyBorder="1" applyAlignment="1">
      <alignment horizontal="left" vertical="center" wrapText="1"/>
    </xf>
    <xf numFmtId="0" fontId="8" fillId="0" borderId="5" xfId="0" applyFont="1" applyBorder="1" applyAlignment="1">
      <alignment horizontal="center" vertical="center"/>
    </xf>
    <xf numFmtId="0" fontId="12" fillId="0" borderId="0" xfId="0" applyFont="1" applyAlignment="1">
      <alignment horizontal="justify" vertical="center"/>
    </xf>
    <xf numFmtId="0" fontId="8" fillId="0" borderId="28" xfId="4" applyNumberFormat="1" applyFont="1" applyFill="1" applyBorder="1" applyAlignment="1">
      <alignment horizontal="center" vertical="center"/>
    </xf>
    <xf numFmtId="0" fontId="10" fillId="0" borderId="37" xfId="4" applyNumberFormat="1" applyFont="1" applyFill="1" applyBorder="1" applyAlignment="1">
      <alignment horizontal="left" vertical="center"/>
    </xf>
    <xf numFmtId="0" fontId="8" fillId="0" borderId="51" xfId="0" applyFont="1" applyBorder="1" applyAlignment="1">
      <alignment horizontal="right" vertical="center"/>
    </xf>
    <xf numFmtId="0" fontId="8" fillId="0" borderId="49" xfId="0" applyFont="1" applyBorder="1" applyAlignment="1">
      <alignment horizontal="right" vertical="center"/>
    </xf>
    <xf numFmtId="0" fontId="8" fillId="0" borderId="43" xfId="0" applyFont="1" applyBorder="1" applyAlignment="1">
      <alignment horizontal="right" vertical="center"/>
    </xf>
    <xf numFmtId="0" fontId="10" fillId="0" borderId="27" xfId="0" applyFont="1" applyBorder="1" applyAlignment="1">
      <alignment horizontal="left" vertical="center"/>
    </xf>
    <xf numFmtId="0" fontId="10" fillId="0" borderId="36" xfId="0" applyFont="1" applyBorder="1" applyAlignment="1">
      <alignment horizontal="left" vertical="center"/>
    </xf>
    <xf numFmtId="43" fontId="10" fillId="0" borderId="36" xfId="1" applyFont="1" applyFill="1" applyBorder="1" applyAlignment="1">
      <alignment horizontal="center" vertical="center"/>
    </xf>
    <xf numFmtId="0" fontId="10" fillId="0" borderId="21" xfId="4" applyNumberFormat="1" applyFont="1" applyFill="1" applyBorder="1" applyAlignment="1">
      <alignment horizontal="left" vertical="center"/>
    </xf>
    <xf numFmtId="0" fontId="10" fillId="0" borderId="22" xfId="4" applyNumberFormat="1" applyFont="1" applyFill="1" applyBorder="1" applyAlignment="1">
      <alignment horizontal="left" vertical="center"/>
    </xf>
    <xf numFmtId="0" fontId="10" fillId="0" borderId="16" xfId="4" applyNumberFormat="1" applyFont="1" applyFill="1" applyBorder="1" applyAlignment="1">
      <alignment horizontal="left" vertical="center"/>
    </xf>
    <xf numFmtId="0" fontId="10" fillId="0" borderId="27" xfId="4" applyNumberFormat="1" applyFont="1" applyFill="1" applyBorder="1" applyAlignment="1">
      <alignment horizontal="justify" vertical="center"/>
    </xf>
    <xf numFmtId="0" fontId="10" fillId="0" borderId="36" xfId="4" applyNumberFormat="1" applyFont="1" applyFill="1" applyBorder="1" applyAlignment="1">
      <alignment horizontal="justify" vertical="center"/>
    </xf>
    <xf numFmtId="0" fontId="10" fillId="0" borderId="24" xfId="4" applyNumberFormat="1" applyFont="1" applyFill="1" applyBorder="1" applyAlignment="1">
      <alignment horizontal="justify" vertical="center"/>
    </xf>
    <xf numFmtId="0" fontId="8" fillId="0" borderId="21" xfId="4" applyNumberFormat="1" applyFont="1" applyFill="1" applyBorder="1" applyAlignment="1">
      <alignment horizontal="center" vertical="center"/>
    </xf>
    <xf numFmtId="0" fontId="8" fillId="0" borderId="0" xfId="4" applyNumberFormat="1" applyFont="1" applyFill="1" applyBorder="1" applyAlignment="1">
      <alignment horizontal="justify" vertical="top"/>
    </xf>
    <xf numFmtId="167" fontId="10" fillId="0" borderId="0" xfId="1" applyNumberFormat="1" applyFont="1" applyFill="1" applyBorder="1" applyAlignment="1">
      <alignment horizontal="right" vertical="center"/>
    </xf>
    <xf numFmtId="167" fontId="10" fillId="0" borderId="1" xfId="1" applyNumberFormat="1" applyFont="1" applyFill="1" applyBorder="1" applyAlignment="1">
      <alignment horizontal="right" vertical="center"/>
    </xf>
    <xf numFmtId="0" fontId="12" fillId="0" borderId="0" xfId="6" applyFont="1" applyAlignment="1">
      <alignment horizontal="left" vertical="center"/>
    </xf>
    <xf numFmtId="0" fontId="8" fillId="0" borderId="3" xfId="4" applyNumberFormat="1" applyFont="1" applyFill="1" applyBorder="1" applyAlignment="1" applyProtection="1">
      <alignment horizontal="center" vertical="center"/>
    </xf>
    <xf numFmtId="165" fontId="8" fillId="0" borderId="28" xfId="8" applyNumberFormat="1" applyFont="1" applyFill="1" applyBorder="1" applyAlignment="1" applyProtection="1">
      <alignment horizontal="center" vertical="center" wrapText="1"/>
    </xf>
    <xf numFmtId="165" fontId="8" fillId="0" borderId="13" xfId="8" applyNumberFormat="1" applyFont="1" applyFill="1" applyBorder="1" applyAlignment="1" applyProtection="1">
      <alignment horizontal="center" vertical="center" wrapText="1"/>
    </xf>
    <xf numFmtId="165" fontId="8" fillId="0" borderId="4" xfId="8" applyNumberFormat="1" applyFont="1" applyFill="1" applyBorder="1" applyAlignment="1" applyProtection="1">
      <alignment horizontal="center" vertical="center" wrapText="1"/>
    </xf>
    <xf numFmtId="43" fontId="10" fillId="0" borderId="44" xfId="1" applyFont="1" applyFill="1" applyBorder="1" applyAlignment="1">
      <alignment horizontal="center" vertical="center"/>
    </xf>
    <xf numFmtId="43" fontId="10" fillId="0" borderId="16" xfId="1" applyFont="1" applyFill="1" applyBorder="1" applyAlignment="1">
      <alignment horizontal="center" vertical="center"/>
    </xf>
    <xf numFmtId="43" fontId="8" fillId="0" borderId="40" xfId="1" applyFont="1" applyFill="1" applyBorder="1" applyAlignment="1">
      <alignment horizontal="center" vertical="center"/>
    </xf>
    <xf numFmtId="0" fontId="10" fillId="0" borderId="0" xfId="4" applyNumberFormat="1" applyFont="1" applyFill="1" applyBorder="1" applyAlignment="1">
      <alignment horizontal="justify" vertical="center"/>
    </xf>
    <xf numFmtId="0" fontId="10" fillId="0" borderId="51" xfId="4" applyNumberFormat="1" applyFont="1" applyFill="1" applyBorder="1" applyAlignment="1">
      <alignment horizontal="left" vertical="center"/>
    </xf>
    <xf numFmtId="0" fontId="10" fillId="0" borderId="36" xfId="4" applyNumberFormat="1" applyFont="1" applyFill="1" applyBorder="1" applyAlignment="1">
      <alignment horizontal="left" vertical="center"/>
    </xf>
    <xf numFmtId="0" fontId="10" fillId="0" borderId="24" xfId="4" applyNumberFormat="1" applyFont="1" applyFill="1" applyBorder="1" applyAlignment="1">
      <alignment horizontal="left" vertical="center"/>
    </xf>
    <xf numFmtId="0" fontId="9" fillId="0" borderId="43" xfId="4" applyNumberFormat="1" applyFont="1" applyFill="1" applyBorder="1" applyAlignment="1">
      <alignment horizontal="left" vertical="center"/>
    </xf>
    <xf numFmtId="0" fontId="9" fillId="0" borderId="0" xfId="4" applyNumberFormat="1" applyFont="1" applyFill="1" applyBorder="1" applyAlignment="1">
      <alignment horizontal="left" vertical="center"/>
    </xf>
    <xf numFmtId="0" fontId="9" fillId="0" borderId="15" xfId="4" applyNumberFormat="1" applyFont="1" applyFill="1" applyBorder="1" applyAlignment="1">
      <alignment horizontal="left" vertical="center"/>
    </xf>
    <xf numFmtId="43" fontId="10" fillId="0" borderId="44" xfId="1" applyFont="1" applyBorder="1" applyAlignment="1">
      <alignment horizontal="center" vertical="center"/>
    </xf>
    <xf numFmtId="43" fontId="10" fillId="0" borderId="16" xfId="1" applyFont="1" applyBorder="1" applyAlignment="1">
      <alignment horizontal="center" vertical="center"/>
    </xf>
    <xf numFmtId="166" fontId="10" fillId="0" borderId="45" xfId="1" applyNumberFormat="1" applyFont="1" applyFill="1" applyBorder="1" applyAlignment="1">
      <alignment horizontal="center" vertical="center"/>
    </xf>
    <xf numFmtId="166" fontId="10" fillId="0" borderId="33" xfId="1" applyNumberFormat="1" applyFont="1" applyFill="1" applyBorder="1" applyAlignment="1">
      <alignment horizontal="center" vertical="center"/>
    </xf>
    <xf numFmtId="43" fontId="10" fillId="0" borderId="50" xfId="1" applyFont="1" applyFill="1" applyBorder="1" applyAlignment="1">
      <alignment horizontal="center" vertical="center"/>
    </xf>
    <xf numFmtId="43" fontId="10" fillId="0" borderId="41" xfId="1" applyFont="1" applyFill="1" applyBorder="1" applyAlignment="1">
      <alignment horizontal="center" vertical="center"/>
    </xf>
    <xf numFmtId="43" fontId="10" fillId="0" borderId="22" xfId="1" applyFont="1" applyBorder="1" applyAlignment="1">
      <alignment horizontal="center" vertical="center"/>
    </xf>
    <xf numFmtId="43" fontId="10" fillId="0" borderId="2" xfId="1" applyFont="1" applyBorder="1" applyAlignment="1">
      <alignment horizontal="center" vertical="center"/>
    </xf>
    <xf numFmtId="166" fontId="10" fillId="0" borderId="51" xfId="1" applyNumberFormat="1" applyFont="1" applyFill="1" applyBorder="1" applyAlignment="1">
      <alignment horizontal="center" vertical="center"/>
    </xf>
    <xf numFmtId="166" fontId="10" fillId="0" borderId="49" xfId="1" applyNumberFormat="1" applyFont="1" applyFill="1" applyBorder="1" applyAlignment="1">
      <alignment horizontal="center" vertical="center"/>
    </xf>
    <xf numFmtId="166" fontId="10" fillId="0" borderId="31" xfId="1" applyNumberFormat="1" applyFont="1" applyFill="1" applyBorder="1" applyAlignment="1">
      <alignment horizontal="center" vertical="center"/>
    </xf>
    <xf numFmtId="166" fontId="10" fillId="0" borderId="50" xfId="1" applyNumberFormat="1" applyFont="1" applyFill="1" applyBorder="1" applyAlignment="1">
      <alignment horizontal="center" vertical="center"/>
    </xf>
    <xf numFmtId="166" fontId="10" fillId="0" borderId="53" xfId="1" applyNumberFormat="1" applyFont="1" applyFill="1" applyBorder="1" applyAlignment="1">
      <alignment horizontal="center" vertical="center"/>
    </xf>
    <xf numFmtId="43" fontId="8" fillId="0" borderId="65" xfId="1" applyFont="1" applyBorder="1" applyAlignment="1">
      <alignment horizontal="right" vertical="center"/>
    </xf>
    <xf numFmtId="43" fontId="8" fillId="0" borderId="66" xfId="1" applyFont="1" applyBorder="1" applyAlignment="1">
      <alignment horizontal="right" vertical="center"/>
    </xf>
    <xf numFmtId="43" fontId="8" fillId="0" borderId="26" xfId="1" applyFont="1" applyBorder="1" applyAlignment="1">
      <alignment horizontal="right" vertical="center"/>
    </xf>
    <xf numFmtId="0" fontId="10" fillId="0" borderId="59" xfId="0" applyFont="1" applyBorder="1" applyAlignment="1">
      <alignment horizontal="justify" vertical="center" wrapText="1"/>
    </xf>
    <xf numFmtId="0" fontId="10" fillId="0" borderId="15" xfId="0" applyFont="1" applyBorder="1" applyAlignment="1">
      <alignment horizontal="justify" vertical="center" wrapText="1"/>
    </xf>
    <xf numFmtId="43" fontId="8" fillId="0" borderId="15" xfId="1" applyFont="1" applyBorder="1" applyAlignment="1">
      <alignment horizontal="right" vertical="center"/>
    </xf>
    <xf numFmtId="0" fontId="10" fillId="0" borderId="21" xfId="0" applyFont="1" applyBorder="1" applyAlignment="1">
      <alignment horizontal="justify" vertical="center" wrapText="1"/>
    </xf>
    <xf numFmtId="0" fontId="10" fillId="0" borderId="22" xfId="0" applyFont="1" applyBorder="1" applyAlignment="1">
      <alignment horizontal="justify" vertical="center" wrapText="1"/>
    </xf>
    <xf numFmtId="0" fontId="10" fillId="0" borderId="16" xfId="0" applyFont="1" applyBorder="1" applyAlignment="1">
      <alignment horizontal="justify" vertical="center" wrapText="1"/>
    </xf>
    <xf numFmtId="43" fontId="10" fillId="0" borderId="67" xfId="1" applyFont="1" applyBorder="1" applyAlignment="1">
      <alignment horizontal="right" vertical="center"/>
    </xf>
    <xf numFmtId="43" fontId="10" fillId="0" borderId="68" xfId="1" applyFont="1" applyBorder="1" applyAlignment="1">
      <alignment horizontal="right" vertical="center"/>
    </xf>
    <xf numFmtId="43" fontId="10" fillId="0" borderId="69" xfId="1" applyFont="1" applyBorder="1" applyAlignment="1">
      <alignment horizontal="right" vertical="center"/>
    </xf>
    <xf numFmtId="43" fontId="10" fillId="0" borderId="45" xfId="1" applyFont="1" applyBorder="1" applyAlignment="1">
      <alignment horizontal="right" vertical="center"/>
    </xf>
    <xf numFmtId="43" fontId="10" fillId="0" borderId="33" xfId="1" applyFont="1" applyBorder="1" applyAlignment="1">
      <alignment horizontal="right" vertical="center"/>
    </xf>
    <xf numFmtId="43" fontId="10" fillId="0" borderId="31" xfId="1" applyFont="1" applyBorder="1" applyAlignment="1">
      <alignment horizontal="right" vertical="center"/>
    </xf>
    <xf numFmtId="0" fontId="8" fillId="0" borderId="59" xfId="0" applyFont="1" applyBorder="1" applyAlignment="1">
      <alignment horizontal="justify" vertical="center" wrapText="1"/>
    </xf>
    <xf numFmtId="0" fontId="8" fillId="0" borderId="0" xfId="0" applyFont="1" applyAlignment="1">
      <alignment horizontal="justify" vertical="center" wrapText="1"/>
    </xf>
    <xf numFmtId="0" fontId="8" fillId="0" borderId="15" xfId="0" applyFont="1" applyBorder="1" applyAlignment="1">
      <alignment horizontal="justify" vertical="center" wrapText="1"/>
    </xf>
    <xf numFmtId="0" fontId="11" fillId="0" borderId="0" xfId="0" applyFont="1" applyAlignment="1">
      <alignment horizontal="left" vertical="center" wrapText="1"/>
    </xf>
    <xf numFmtId="0" fontId="7" fillId="0" borderId="0" xfId="0" applyFont="1" applyAlignment="1">
      <alignment horizontal="justify" vertical="center" wrapText="1"/>
    </xf>
    <xf numFmtId="43" fontId="8" fillId="0" borderId="0" xfId="1" applyFont="1" applyAlignment="1">
      <alignment horizontal="left" vertical="center"/>
    </xf>
    <xf numFmtId="0" fontId="6" fillId="0" borderId="54" xfId="0" applyFont="1" applyBorder="1" applyAlignment="1">
      <alignment horizontal="center" vertical="center" wrapText="1"/>
    </xf>
    <xf numFmtId="0" fontId="6" fillId="0" borderId="58" xfId="0" applyFont="1" applyBorder="1" applyAlignment="1">
      <alignment horizontal="center" vertical="center" wrapText="1"/>
    </xf>
    <xf numFmtId="0" fontId="6" fillId="0" borderId="61" xfId="0" applyFont="1" applyBorder="1" applyAlignment="1">
      <alignment horizontal="center" vertical="center" wrapText="1"/>
    </xf>
    <xf numFmtId="0" fontId="6" fillId="0" borderId="74" xfId="0" applyFont="1" applyBorder="1" applyAlignment="1">
      <alignment horizontal="center" vertical="center" wrapText="1"/>
    </xf>
    <xf numFmtId="0" fontId="11" fillId="0" borderId="0" xfId="0" applyFont="1" applyAlignment="1">
      <alignment horizontal="left" vertical="center"/>
    </xf>
    <xf numFmtId="0" fontId="11" fillId="0" borderId="22" xfId="0" applyFont="1" applyBorder="1" applyAlignment="1">
      <alignment horizontal="left" vertical="center"/>
    </xf>
    <xf numFmtId="0" fontId="6" fillId="0" borderId="47" xfId="0" applyFont="1" applyBorder="1" applyAlignment="1">
      <alignment horizontal="center" vertical="center" wrapText="1"/>
    </xf>
    <xf numFmtId="0" fontId="6" fillId="0" borderId="57"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13" xfId="0" applyFont="1" applyBorder="1" applyAlignment="1">
      <alignment horizontal="center" vertical="center" wrapText="1"/>
    </xf>
    <xf numFmtId="0" fontId="8" fillId="0" borderId="0" xfId="0" applyFont="1" applyAlignment="1">
      <alignment vertical="center"/>
    </xf>
    <xf numFmtId="0" fontId="8" fillId="0" borderId="22" xfId="0" applyFont="1" applyBorder="1" applyAlignment="1">
      <alignment vertical="center"/>
    </xf>
    <xf numFmtId="0" fontId="8" fillId="0" borderId="22" xfId="4" applyNumberFormat="1" applyFont="1" applyFill="1" applyBorder="1" applyAlignment="1">
      <alignment horizontal="left" vertical="center" wrapText="1"/>
    </xf>
  </cellXfs>
  <cellStyles count="11">
    <cellStyle name="Comma" xfId="1" builtinId="3"/>
    <cellStyle name="Comma 2" xfId="8" xr:uid="{00000000-0005-0000-0000-000001000000}"/>
    <cellStyle name="Comma 2 2" xfId="4" xr:uid="{00000000-0005-0000-0000-000002000000}"/>
    <cellStyle name="Comma 8" xfId="10" xr:uid="{00000000-0005-0000-0000-000003000000}"/>
    <cellStyle name="Normal" xfId="0" builtinId="0"/>
    <cellStyle name="Normal 2" xfId="7" xr:uid="{00000000-0005-0000-0000-000005000000}"/>
    <cellStyle name="Normal 2 2" xfId="6" xr:uid="{00000000-0005-0000-0000-000006000000}"/>
    <cellStyle name="Normal 26" xfId="3" xr:uid="{00000000-0005-0000-0000-000007000000}"/>
    <cellStyle name="Normal_cash flow 2007" xfId="5" xr:uid="{00000000-0005-0000-0000-000008000000}"/>
    <cellStyle name="Percent" xfId="2" builtinId="5"/>
    <cellStyle name="Percent 2" xfId="9" xr:uid="{00000000-0005-0000-0000-00000A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hreedevi/Downloads/Progen%20Renewables%20BS%2024%20draf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01.Companies/C0423-Progen_Renewables_Limited/B.ANNUAL_FIN/FY_2024-25/03.%20Draft%20Report/1Financial%20Statement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ll%20staff/Sankar%20M%20CA/FORMATE/42.%20OPSUNIFY%20TECHNOLOGIES%20PRIVATE%20LIMITED/Financial%20Statements%20Form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abilitees"/>
      <sheetName val="Assets"/>
      <sheetName val="P&amp;l"/>
      <sheetName val="Notes to BS"/>
      <sheetName val="Notes to P&amp;L"/>
      <sheetName val="FA"/>
      <sheetName val="fixed assets"/>
      <sheetName val="Dep Sche"/>
      <sheetName val="Def Tax"/>
      <sheetName val="Sales Abstract"/>
      <sheetName val="cash flow statement"/>
      <sheetName val="Sheet1"/>
      <sheetName val="GST "/>
    </sheetNames>
    <sheetDataSet>
      <sheetData sheetId="0" refreshError="1"/>
      <sheetData sheetId="1" refreshError="1"/>
      <sheetData sheetId="2" refreshError="1"/>
      <sheetData sheetId="3" refreshError="1"/>
      <sheetData sheetId="4" refreshError="1"/>
      <sheetData sheetId="5">
        <row r="17">
          <cell r="I17">
            <v>419374</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amp;L"/>
      <sheetName val="SAP"/>
      <sheetName val="Notes - 4 - SOCES"/>
      <sheetName val="Notes - 5 to 13"/>
      <sheetName val="Notes - 13- FA"/>
      <sheetName val="Notes - 14 to 21"/>
      <sheetName val="Notes - 22 to 29"/>
      <sheetName val="SAP2"/>
      <sheetName val="Sub Notes"/>
      <sheetName val="Dep - IT Act"/>
      <sheetName val="DTA or DTL"/>
      <sheetName val="Ratio's"/>
      <sheetName val="Ratio Working"/>
      <sheetName val="Sheet1"/>
    </sheetNames>
    <sheetDataSet>
      <sheetData sheetId="0">
        <row r="47">
          <cell r="A47" t="str">
            <v>For S.P.P &amp; Co</v>
          </cell>
        </row>
        <row r="53">
          <cell r="A53" t="str">
            <v xml:space="preserve"> </v>
          </cell>
          <cell r="D53" t="str">
            <v xml:space="preserve"> </v>
          </cell>
          <cell r="E53" t="str">
            <v xml:space="preserve"> </v>
          </cell>
        </row>
      </sheetData>
      <sheetData sheetId="1">
        <row r="26">
          <cell r="D26">
            <v>-50261411</v>
          </cell>
        </row>
      </sheetData>
      <sheetData sheetId="2"/>
      <sheetData sheetId="3">
        <row r="13">
          <cell r="F13">
            <v>960000</v>
          </cell>
        </row>
      </sheetData>
      <sheetData sheetId="4">
        <row r="17">
          <cell r="F17">
            <v>10240000</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amp;L"/>
      <sheetName val="CFS"/>
      <sheetName val="SAP"/>
      <sheetName val="Note 4 - SOCES"/>
      <sheetName val="Notes - "/>
      <sheetName val="Notes"/>
      <sheetName val="Notes -"/>
      <sheetName val="Notes-"/>
      <sheetName val="Ratio"/>
      <sheetName val="SAP 2"/>
      <sheetName val="Audit Report"/>
      <sheetName val="ANX A"/>
      <sheetName val="Dep - IT Act"/>
      <sheetName val="Ratio Working"/>
      <sheetName val="Sheet1"/>
    </sheetNames>
    <sheetDataSet>
      <sheetData sheetId="0"/>
      <sheetData sheetId="1"/>
      <sheetData sheetId="2"/>
      <sheetData sheetId="3"/>
      <sheetData sheetId="4"/>
      <sheetData sheetId="5"/>
      <sheetData sheetId="6"/>
      <sheetData sheetId="7"/>
      <sheetData sheetId="8"/>
      <sheetData sheetId="9">
        <row r="22">
          <cell r="A22" t="str">
            <v>As Per our Report of even date Attached</v>
          </cell>
        </row>
        <row r="24">
          <cell r="A24" t="str">
            <v>For S.P.P &amp; Co</v>
          </cell>
        </row>
        <row r="25">
          <cell r="A25" t="str">
            <v>Chartered Accountants</v>
          </cell>
        </row>
        <row r="26">
          <cell r="A26" t="str">
            <v>Firm Registration Number: 011059S</v>
          </cell>
        </row>
        <row r="31">
          <cell r="A31" t="str">
            <v>CA S. Prabhu</v>
          </cell>
        </row>
        <row r="32">
          <cell r="A32" t="str">
            <v>Partner</v>
          </cell>
        </row>
        <row r="33">
          <cell r="A33" t="str">
            <v>Membership No: 213598</v>
          </cell>
        </row>
        <row r="34">
          <cell r="A34" t="str">
            <v>UDIN:</v>
          </cell>
        </row>
      </sheetData>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1"/>
  <sheetViews>
    <sheetView showGridLines="0" view="pageBreakPreview" zoomScaleNormal="100" zoomScaleSheetLayoutView="100" workbookViewId="0">
      <selection activeCell="B19" sqref="B19"/>
    </sheetView>
  </sheetViews>
  <sheetFormatPr defaultColWidth="9.109375" defaultRowHeight="15" customHeight="1" x14ac:dyDescent="0.3"/>
  <cols>
    <col min="1" max="1" width="5.5546875" style="31" customWidth="1"/>
    <col min="2" max="2" width="44.33203125" style="31" customWidth="1"/>
    <col min="3" max="3" width="7.6640625" style="31" customWidth="1"/>
    <col min="4" max="5" width="23.33203125" style="43" customWidth="1"/>
    <col min="6" max="6" width="17.44140625" style="31" bestFit="1" customWidth="1"/>
    <col min="7" max="7" width="20.44140625" style="31" bestFit="1" customWidth="1"/>
    <col min="8" max="8" width="17.44140625" style="31" bestFit="1" customWidth="1"/>
    <col min="9" max="9" width="16.33203125" style="31" bestFit="1" customWidth="1"/>
    <col min="10" max="10" width="17.44140625" style="31" bestFit="1" customWidth="1"/>
    <col min="11" max="11" width="16.33203125" style="31" bestFit="1" customWidth="1"/>
    <col min="12" max="16384" width="9.109375" style="31"/>
  </cols>
  <sheetData>
    <row r="1" spans="1:11" ht="15" customHeight="1" x14ac:dyDescent="0.3">
      <c r="A1" s="365" t="s">
        <v>437</v>
      </c>
      <c r="B1" s="365"/>
      <c r="C1" s="365"/>
      <c r="D1" s="365"/>
      <c r="E1" s="365"/>
    </row>
    <row r="2" spans="1:11" ht="15" customHeight="1" x14ac:dyDescent="0.3">
      <c r="A2" s="366" t="s">
        <v>819</v>
      </c>
      <c r="B2" s="366"/>
      <c r="C2" s="366"/>
      <c r="D2" s="366"/>
      <c r="E2" s="366"/>
    </row>
    <row r="3" spans="1:11" ht="15" customHeight="1" x14ac:dyDescent="0.3">
      <c r="A3" s="366" t="s">
        <v>438</v>
      </c>
      <c r="B3" s="366"/>
      <c r="C3" s="366"/>
      <c r="D3" s="366"/>
      <c r="E3" s="366"/>
    </row>
    <row r="4" spans="1:11" ht="15" customHeight="1" x14ac:dyDescent="0.3">
      <c r="A4" s="366" t="s">
        <v>238</v>
      </c>
      <c r="B4" s="366"/>
      <c r="C4" s="366"/>
      <c r="D4" s="366"/>
      <c r="E4" s="366"/>
    </row>
    <row r="5" spans="1:11" ht="15" customHeight="1" thickBot="1" x14ac:dyDescent="0.35">
      <c r="A5" s="369" t="s">
        <v>501</v>
      </c>
      <c r="B5" s="369"/>
      <c r="C5" s="369"/>
      <c r="D5" s="369"/>
      <c r="E5" s="369"/>
    </row>
    <row r="6" spans="1:11" ht="33" customHeight="1" x14ac:dyDescent="0.3">
      <c r="A6" s="367" t="s">
        <v>0</v>
      </c>
      <c r="B6" s="368"/>
      <c r="C6" s="79" t="s">
        <v>12</v>
      </c>
      <c r="D6" s="85" t="s">
        <v>1</v>
      </c>
      <c r="E6" s="86" t="s">
        <v>2</v>
      </c>
      <c r="F6" s="122" t="s">
        <v>429</v>
      </c>
      <c r="G6" s="122" t="s">
        <v>467</v>
      </c>
      <c r="H6" s="122" t="s">
        <v>429</v>
      </c>
    </row>
    <row r="7" spans="1:11" ht="15" customHeight="1" x14ac:dyDescent="0.3">
      <c r="A7" s="267" t="s">
        <v>17</v>
      </c>
      <c r="B7" s="252" t="s">
        <v>33</v>
      </c>
      <c r="C7" s="268"/>
      <c r="D7" s="71"/>
      <c r="E7" s="12"/>
      <c r="F7" s="39"/>
      <c r="G7" s="39"/>
      <c r="H7" s="39"/>
    </row>
    <row r="8" spans="1:11" ht="15" customHeight="1" x14ac:dyDescent="0.3">
      <c r="A8" s="257">
        <v>1</v>
      </c>
      <c r="B8" s="250" t="s">
        <v>94</v>
      </c>
      <c r="C8" s="87"/>
      <c r="D8" s="11"/>
      <c r="E8" s="12"/>
      <c r="F8" s="39"/>
      <c r="G8" s="39"/>
      <c r="H8" s="39"/>
    </row>
    <row r="9" spans="1:11" ht="15" customHeight="1" x14ac:dyDescent="0.3">
      <c r="A9" s="32"/>
      <c r="B9" s="249" t="s">
        <v>34</v>
      </c>
      <c r="C9" s="87">
        <v>1</v>
      </c>
      <c r="D9" s="11">
        <f>+'Note 4 - SOCES'!E12</f>
        <v>1872240</v>
      </c>
      <c r="E9" s="12">
        <f>+'Note 4 - SOCES'!G12</f>
        <v>1666670</v>
      </c>
      <c r="F9" s="39">
        <f>+D9-E9</f>
        <v>205570</v>
      </c>
      <c r="G9" s="39">
        <f>+'Note 4 - SOCES'!I12</f>
        <v>1000000</v>
      </c>
      <c r="H9" s="39">
        <f>+E9-G9</f>
        <v>666670</v>
      </c>
      <c r="J9" s="40" t="s">
        <v>7</v>
      </c>
    </row>
    <row r="10" spans="1:11" ht="15" customHeight="1" x14ac:dyDescent="0.3">
      <c r="A10" s="32"/>
      <c r="B10" s="249" t="s">
        <v>95</v>
      </c>
      <c r="C10" s="87">
        <v>2</v>
      </c>
      <c r="D10" s="11">
        <f>+'Notes - '!D17</f>
        <v>451037991</v>
      </c>
      <c r="E10" s="12">
        <f>+'Notes - '!F17</f>
        <v>118616293</v>
      </c>
      <c r="F10" s="39">
        <f t="shared" ref="F10:F21" si="0">+D10-E10</f>
        <v>332421698</v>
      </c>
      <c r="G10" s="39">
        <f>+'Notes - '!H17</f>
        <v>34498048</v>
      </c>
      <c r="H10" s="39">
        <f t="shared" ref="H10:H21" si="1">+E10-G10</f>
        <v>84118245</v>
      </c>
      <c r="I10" s="40" t="s">
        <v>7</v>
      </c>
      <c r="J10" s="39" t="s">
        <v>7</v>
      </c>
      <c r="K10" s="40" t="s">
        <v>7</v>
      </c>
    </row>
    <row r="11" spans="1:11" ht="9" customHeight="1" x14ac:dyDescent="0.3">
      <c r="A11" s="32"/>
      <c r="B11" s="250"/>
      <c r="C11" s="87"/>
      <c r="D11" s="11"/>
      <c r="E11" s="12"/>
      <c r="F11" s="39">
        <f t="shared" si="0"/>
        <v>0</v>
      </c>
      <c r="G11" s="39"/>
      <c r="H11" s="39" t="s">
        <v>7</v>
      </c>
      <c r="J11" s="40" t="s">
        <v>7</v>
      </c>
    </row>
    <row r="12" spans="1:11" ht="15" customHeight="1" x14ac:dyDescent="0.3">
      <c r="A12" s="257">
        <v>2</v>
      </c>
      <c r="B12" s="250" t="s">
        <v>96</v>
      </c>
      <c r="C12" s="87"/>
      <c r="D12" s="11"/>
      <c r="E12" s="12"/>
      <c r="F12" s="39" t="s">
        <v>7</v>
      </c>
      <c r="G12" s="39"/>
      <c r="H12" s="39" t="s">
        <v>7</v>
      </c>
      <c r="J12" s="40" t="s">
        <v>7</v>
      </c>
    </row>
    <row r="13" spans="1:11" ht="15" customHeight="1" x14ac:dyDescent="0.3">
      <c r="A13" s="32"/>
      <c r="B13" s="249" t="s">
        <v>97</v>
      </c>
      <c r="C13" s="87">
        <v>3</v>
      </c>
      <c r="D13" s="11">
        <f>+'Notes - '!D24</f>
        <v>2208945</v>
      </c>
      <c r="E13" s="12">
        <f>+'Notes - '!F24</f>
        <v>2051790</v>
      </c>
      <c r="F13" s="39">
        <f t="shared" si="0"/>
        <v>157155</v>
      </c>
      <c r="G13" s="39">
        <f>+'Notes - '!H24</f>
        <v>3036391</v>
      </c>
      <c r="H13" s="39">
        <f t="shared" si="1"/>
        <v>-984601</v>
      </c>
    </row>
    <row r="14" spans="1:11" ht="15" customHeight="1" x14ac:dyDescent="0.3">
      <c r="A14" s="32"/>
      <c r="B14" s="249" t="s">
        <v>98</v>
      </c>
      <c r="C14" s="87">
        <v>4</v>
      </c>
      <c r="D14" s="11">
        <v>0</v>
      </c>
      <c r="E14" s="12">
        <f>+'Notes - '!F44</f>
        <v>225648</v>
      </c>
      <c r="F14" s="39">
        <f t="shared" si="0"/>
        <v>-225648</v>
      </c>
      <c r="G14" s="39">
        <f>+'Notes - '!H44</f>
        <v>162653</v>
      </c>
      <c r="H14" s="39">
        <f t="shared" si="1"/>
        <v>62995</v>
      </c>
    </row>
    <row r="15" spans="1:11" ht="15" customHeight="1" x14ac:dyDescent="0.3">
      <c r="A15" s="32"/>
      <c r="B15" s="249" t="s">
        <v>1061</v>
      </c>
      <c r="C15" s="87">
        <v>5</v>
      </c>
      <c r="D15" s="11">
        <f>+'Notes - '!D50</f>
        <v>1204777</v>
      </c>
      <c r="E15" s="12">
        <f>+'Notes - '!F50</f>
        <v>0</v>
      </c>
      <c r="F15" s="39"/>
      <c r="G15" s="39"/>
      <c r="H15" s="39"/>
    </row>
    <row r="16" spans="1:11" ht="9" customHeight="1" x14ac:dyDescent="0.3">
      <c r="A16" s="32"/>
      <c r="B16" s="249"/>
      <c r="C16" s="87" t="s">
        <v>7</v>
      </c>
      <c r="D16" s="11"/>
      <c r="E16" s="12"/>
      <c r="F16" s="39" t="s">
        <v>7</v>
      </c>
      <c r="G16" s="39"/>
      <c r="H16" s="39" t="s">
        <v>7</v>
      </c>
    </row>
    <row r="17" spans="1:11" ht="15" customHeight="1" x14ac:dyDescent="0.3">
      <c r="A17" s="257">
        <v>3</v>
      </c>
      <c r="B17" s="250" t="s">
        <v>99</v>
      </c>
      <c r="C17" s="87"/>
      <c r="D17" s="11"/>
      <c r="E17" s="12"/>
      <c r="F17" s="39" t="s">
        <v>7</v>
      </c>
      <c r="G17" s="39"/>
      <c r="H17" s="39" t="s">
        <v>7</v>
      </c>
      <c r="J17" s="40" t="s">
        <v>7</v>
      </c>
    </row>
    <row r="18" spans="1:11" ht="15" customHeight="1" x14ac:dyDescent="0.3">
      <c r="A18" s="32"/>
      <c r="B18" s="249" t="s">
        <v>100</v>
      </c>
      <c r="C18" s="87">
        <v>6</v>
      </c>
      <c r="D18" s="11">
        <f>+'Notes - '!D61</f>
        <v>60363589</v>
      </c>
      <c r="E18" s="12">
        <f>+'Notes - '!F61</f>
        <v>38551261</v>
      </c>
      <c r="F18" s="39">
        <f t="shared" si="0"/>
        <v>21812328</v>
      </c>
      <c r="G18" s="39">
        <f>+'Notes - '!H61</f>
        <v>10128093</v>
      </c>
      <c r="H18" s="39">
        <f t="shared" si="1"/>
        <v>28423168</v>
      </c>
      <c r="J18" s="40" t="s">
        <v>7</v>
      </c>
    </row>
    <row r="19" spans="1:11" ht="15" customHeight="1" x14ac:dyDescent="0.3">
      <c r="A19" s="32"/>
      <c r="B19" s="249" t="s">
        <v>35</v>
      </c>
      <c r="C19" s="87">
        <v>7</v>
      </c>
      <c r="D19" s="11">
        <f>+'Notes - '!D82</f>
        <v>205494089</v>
      </c>
      <c r="E19" s="12">
        <f>+'Notes - '!F82</f>
        <v>120573466</v>
      </c>
      <c r="F19" s="39">
        <f t="shared" si="0"/>
        <v>84920623</v>
      </c>
      <c r="G19" s="39">
        <f>+'Notes - '!H82</f>
        <v>44810024</v>
      </c>
      <c r="H19" s="39">
        <f t="shared" si="1"/>
        <v>75763442</v>
      </c>
      <c r="J19" s="40" t="s">
        <v>7</v>
      </c>
      <c r="K19" s="40" t="s">
        <v>7</v>
      </c>
    </row>
    <row r="20" spans="1:11" ht="15" customHeight="1" x14ac:dyDescent="0.3">
      <c r="A20" s="32"/>
      <c r="B20" s="249" t="s">
        <v>93</v>
      </c>
      <c r="C20" s="87">
        <v>8</v>
      </c>
      <c r="D20" s="11">
        <f>+'Notes - '!D122</f>
        <v>216932355</v>
      </c>
      <c r="E20" s="12">
        <f>+'Notes - '!F122</f>
        <v>155839042</v>
      </c>
      <c r="F20" s="39">
        <f t="shared" si="0"/>
        <v>61093313</v>
      </c>
      <c r="G20" s="39">
        <f>+'Notes - '!H122</f>
        <v>334053244</v>
      </c>
      <c r="H20" s="39">
        <f t="shared" si="1"/>
        <v>-178214202</v>
      </c>
      <c r="J20" s="39" t="s">
        <v>7</v>
      </c>
    </row>
    <row r="21" spans="1:11" ht="15" customHeight="1" x14ac:dyDescent="0.3">
      <c r="A21" s="32"/>
      <c r="B21" s="249" t="s">
        <v>101</v>
      </c>
      <c r="C21" s="87">
        <v>9</v>
      </c>
      <c r="D21" s="11">
        <f>+'Notes - '!D136</f>
        <v>48149163</v>
      </c>
      <c r="E21" s="12">
        <f>+'Notes - '!F136</f>
        <v>31290496</v>
      </c>
      <c r="F21" s="39">
        <f t="shared" si="0"/>
        <v>16858667</v>
      </c>
      <c r="G21" s="39">
        <f>+'Notes - '!H136</f>
        <v>6187513</v>
      </c>
      <c r="H21" s="39">
        <f t="shared" si="1"/>
        <v>25102983</v>
      </c>
      <c r="J21" s="40" t="s">
        <v>7</v>
      </c>
    </row>
    <row r="22" spans="1:11" ht="15" customHeight="1" thickBot="1" x14ac:dyDescent="0.35">
      <c r="A22" s="32"/>
      <c r="B22" s="269" t="s">
        <v>18</v>
      </c>
      <c r="C22" s="87"/>
      <c r="D22" s="13">
        <f>SUM(D9:D21)</f>
        <v>987263149</v>
      </c>
      <c r="E22" s="19">
        <f>SUM(E9:E21)</f>
        <v>468814666</v>
      </c>
      <c r="F22" s="270">
        <f>SUM(F7:F21)</f>
        <v>517243706</v>
      </c>
      <c r="G22" s="271">
        <f>SUM(G7:G21)</f>
        <v>433875966</v>
      </c>
      <c r="H22" s="271">
        <f>SUM(H7:H21)</f>
        <v>34938700</v>
      </c>
      <c r="J22" s="40" t="s">
        <v>7</v>
      </c>
    </row>
    <row r="23" spans="1:11" ht="15" customHeight="1" thickTop="1" x14ac:dyDescent="0.3">
      <c r="A23" s="257" t="s">
        <v>19</v>
      </c>
      <c r="B23" s="250" t="s">
        <v>36</v>
      </c>
      <c r="C23" s="87"/>
      <c r="D23" s="11"/>
      <c r="E23" s="12" t="s">
        <v>7</v>
      </c>
      <c r="F23" s="39"/>
      <c r="G23" s="39"/>
      <c r="H23" s="39"/>
    </row>
    <row r="24" spans="1:11" ht="15" customHeight="1" x14ac:dyDescent="0.3">
      <c r="A24" s="257">
        <v>1</v>
      </c>
      <c r="B24" s="250" t="s">
        <v>239</v>
      </c>
      <c r="C24" s="87"/>
      <c r="D24" s="11"/>
      <c r="E24" s="12" t="s">
        <v>7</v>
      </c>
      <c r="F24" s="39"/>
      <c r="G24" s="39"/>
      <c r="H24" s="39"/>
    </row>
    <row r="25" spans="1:11" ht="15" customHeight="1" x14ac:dyDescent="0.3">
      <c r="A25" s="257"/>
      <c r="B25" s="249" t="s">
        <v>240</v>
      </c>
      <c r="C25" s="87">
        <v>10</v>
      </c>
      <c r="D25" s="11"/>
      <c r="E25" s="12"/>
      <c r="F25" s="39"/>
      <c r="G25" s="39"/>
      <c r="H25" s="39"/>
      <c r="J25" s="39" t="s">
        <v>7</v>
      </c>
    </row>
    <row r="26" spans="1:11" ht="15" customHeight="1" x14ac:dyDescent="0.3">
      <c r="A26" s="32"/>
      <c r="B26" s="249" t="s">
        <v>142</v>
      </c>
      <c r="C26" s="87" t="s">
        <v>7</v>
      </c>
      <c r="D26" s="11">
        <f>+Notes!M19</f>
        <v>16224913</v>
      </c>
      <c r="E26" s="12">
        <f>+Notes!L19</f>
        <v>9013798</v>
      </c>
      <c r="F26" s="39">
        <f>+E26-D26</f>
        <v>-7211115</v>
      </c>
      <c r="G26" s="39">
        <f>+Notes!N19</f>
        <v>7709135</v>
      </c>
      <c r="H26" s="39">
        <f>+G26-E26</f>
        <v>-1304663</v>
      </c>
    </row>
    <row r="27" spans="1:11" ht="15" customHeight="1" x14ac:dyDescent="0.3">
      <c r="A27" s="32"/>
      <c r="B27" s="249" t="s">
        <v>241</v>
      </c>
      <c r="C27" s="87" t="s">
        <v>7</v>
      </c>
      <c r="D27" s="11">
        <f>+Notes!M22</f>
        <v>128414</v>
      </c>
      <c r="E27" s="12">
        <f>+Notes!L22</f>
        <v>175906</v>
      </c>
      <c r="F27" s="39">
        <f t="shared" ref="F27:F38" si="2">+E27-D27</f>
        <v>47492</v>
      </c>
      <c r="G27" s="39">
        <f>+Notes!N22</f>
        <v>0</v>
      </c>
      <c r="H27" s="39">
        <f t="shared" ref="H27:H38" si="3">+G27-E27</f>
        <v>-175906</v>
      </c>
    </row>
    <row r="28" spans="1:11" ht="9" customHeight="1" x14ac:dyDescent="0.3">
      <c r="A28" s="32"/>
      <c r="B28" s="249" t="s">
        <v>7</v>
      </c>
      <c r="C28" s="87" t="s">
        <v>7</v>
      </c>
      <c r="D28" s="11" t="s">
        <v>7</v>
      </c>
      <c r="E28" s="12" t="s">
        <v>236</v>
      </c>
      <c r="F28" s="39" t="s">
        <v>7</v>
      </c>
      <c r="G28" s="39"/>
      <c r="H28" s="39" t="s">
        <v>7</v>
      </c>
    </row>
    <row r="29" spans="1:11" ht="15" customHeight="1" x14ac:dyDescent="0.3">
      <c r="A29" s="32"/>
      <c r="B29" s="249" t="s">
        <v>411</v>
      </c>
      <c r="C29" s="87">
        <v>4</v>
      </c>
      <c r="D29" s="11">
        <f>-'Notes - '!D44:E44</f>
        <v>1531798</v>
      </c>
      <c r="E29" s="12">
        <v>0</v>
      </c>
      <c r="F29" s="39">
        <f t="shared" si="2"/>
        <v>-1531798</v>
      </c>
      <c r="G29" s="39">
        <v>0</v>
      </c>
      <c r="H29" s="39">
        <f t="shared" si="3"/>
        <v>0</v>
      </c>
    </row>
    <row r="30" spans="1:11" ht="15" customHeight="1" x14ac:dyDescent="0.3">
      <c r="A30" s="32"/>
      <c r="B30" s="249" t="s">
        <v>412</v>
      </c>
      <c r="C30" s="87">
        <v>11</v>
      </c>
      <c r="D30" s="11">
        <f>+'Notes -'!F10</f>
        <v>109000</v>
      </c>
      <c r="E30" s="12">
        <f>+'Notes -'!H10</f>
        <v>740000</v>
      </c>
      <c r="F30" s="39">
        <f t="shared" si="2"/>
        <v>631000</v>
      </c>
      <c r="G30" s="39">
        <f>+'Notes -'!J10</f>
        <v>740000</v>
      </c>
      <c r="H30" s="39">
        <f t="shared" si="3"/>
        <v>0</v>
      </c>
    </row>
    <row r="31" spans="1:11" ht="15" customHeight="1" x14ac:dyDescent="0.3">
      <c r="A31" s="32"/>
      <c r="B31" s="249" t="s">
        <v>413</v>
      </c>
      <c r="C31" s="87">
        <v>12</v>
      </c>
      <c r="D31" s="11">
        <f>+'Notes -'!F18</f>
        <v>47000000</v>
      </c>
      <c r="E31" s="12">
        <f>+'Notes -'!H18</f>
        <v>10000000</v>
      </c>
      <c r="F31" s="39">
        <f t="shared" si="2"/>
        <v>-37000000</v>
      </c>
      <c r="G31" s="39">
        <f>+'Notes -'!J18</f>
        <v>0</v>
      </c>
      <c r="H31" s="39">
        <f t="shared" si="3"/>
        <v>-10000000</v>
      </c>
    </row>
    <row r="32" spans="1:11" ht="9" customHeight="1" x14ac:dyDescent="0.3">
      <c r="A32" s="32"/>
      <c r="B32" s="249"/>
      <c r="C32" s="87" t="s">
        <v>7</v>
      </c>
      <c r="D32" s="11"/>
      <c r="E32" s="12"/>
      <c r="F32" s="39" t="s">
        <v>7</v>
      </c>
      <c r="G32" s="39"/>
      <c r="H32" s="39" t="s">
        <v>7</v>
      </c>
    </row>
    <row r="33" spans="1:10" ht="15" customHeight="1" x14ac:dyDescent="0.3">
      <c r="A33" s="257">
        <v>2</v>
      </c>
      <c r="B33" s="250" t="s">
        <v>102</v>
      </c>
      <c r="C33" s="87"/>
      <c r="D33" s="11"/>
      <c r="E33" s="12"/>
      <c r="F33" s="39" t="s">
        <v>7</v>
      </c>
      <c r="G33" s="39"/>
      <c r="H33" s="39" t="s">
        <v>7</v>
      </c>
    </row>
    <row r="34" spans="1:10" ht="15" customHeight="1" x14ac:dyDescent="0.3">
      <c r="A34" s="32"/>
      <c r="B34" s="249" t="s">
        <v>414</v>
      </c>
      <c r="C34" s="87">
        <v>13</v>
      </c>
      <c r="D34" s="11">
        <f>+'Notes -'!F25</f>
        <v>38325985</v>
      </c>
      <c r="E34" s="12">
        <f>+'Notes -'!H25</f>
        <v>117014200</v>
      </c>
      <c r="F34" s="39">
        <f t="shared" si="2"/>
        <v>78688215</v>
      </c>
      <c r="G34" s="39">
        <f>+'Notes -'!J25</f>
        <v>257149228</v>
      </c>
      <c r="H34" s="39">
        <f t="shared" si="3"/>
        <v>140135028</v>
      </c>
    </row>
    <row r="35" spans="1:10" ht="15" customHeight="1" x14ac:dyDescent="0.3">
      <c r="A35" s="32"/>
      <c r="B35" s="249" t="s">
        <v>415</v>
      </c>
      <c r="C35" s="87">
        <v>14</v>
      </c>
      <c r="D35" s="11">
        <f>+'Notes -'!F35</f>
        <v>700374795</v>
      </c>
      <c r="E35" s="12">
        <f>+'Notes -'!H35</f>
        <v>246523964</v>
      </c>
      <c r="F35" s="39">
        <f t="shared" si="2"/>
        <v>-453850831</v>
      </c>
      <c r="G35" s="39">
        <f>+'Notes -'!J35</f>
        <v>77497655</v>
      </c>
      <c r="H35" s="39">
        <f t="shared" si="3"/>
        <v>-169026309</v>
      </c>
    </row>
    <row r="36" spans="1:10" ht="15" customHeight="1" x14ac:dyDescent="0.3">
      <c r="A36" s="32"/>
      <c r="B36" s="249" t="s">
        <v>416</v>
      </c>
      <c r="C36" s="87">
        <v>15</v>
      </c>
      <c r="D36" s="11">
        <f>+'Notes -'!F75</f>
        <v>27671325</v>
      </c>
      <c r="E36" s="12">
        <f>+'Notes -'!H75</f>
        <v>9682573</v>
      </c>
      <c r="F36" s="39">
        <f t="shared" si="2"/>
        <v>-17988752</v>
      </c>
      <c r="G36" s="39">
        <f>+'Notes -'!J75</f>
        <v>6827</v>
      </c>
      <c r="H36" s="39">
        <f t="shared" si="3"/>
        <v>-9675746</v>
      </c>
    </row>
    <row r="37" spans="1:10" ht="15" customHeight="1" x14ac:dyDescent="0.3">
      <c r="A37" s="32"/>
      <c r="B37" s="249" t="s">
        <v>417</v>
      </c>
      <c r="C37" s="87">
        <v>16</v>
      </c>
      <c r="D37" s="11">
        <f>+'Notes -'!F100</f>
        <v>140013589</v>
      </c>
      <c r="E37" s="12">
        <f>+'Notes -'!H100</f>
        <v>70446641</v>
      </c>
      <c r="F37" s="39">
        <f t="shared" si="2"/>
        <v>-69566948</v>
      </c>
      <c r="G37" s="39">
        <f>+'Notes -'!J100</f>
        <v>77667873</v>
      </c>
      <c r="H37" s="39">
        <f t="shared" si="3"/>
        <v>7221232</v>
      </c>
    </row>
    <row r="38" spans="1:10" ht="15" customHeight="1" x14ac:dyDescent="0.3">
      <c r="A38" s="32"/>
      <c r="B38" s="249" t="s">
        <v>418</v>
      </c>
      <c r="C38" s="87">
        <v>17</v>
      </c>
      <c r="D38" s="11">
        <f>+'Notes -'!F111</f>
        <v>15883330</v>
      </c>
      <c r="E38" s="12">
        <f>+'Notes -'!H111</f>
        <v>5217584</v>
      </c>
      <c r="F38" s="39">
        <f t="shared" si="2"/>
        <v>-10665746</v>
      </c>
      <c r="G38" s="39">
        <f>+'Notes -'!J111</f>
        <v>13105248</v>
      </c>
      <c r="H38" s="39">
        <f t="shared" si="3"/>
        <v>7887664</v>
      </c>
      <c r="J38" s="40" t="s">
        <v>7</v>
      </c>
    </row>
    <row r="39" spans="1:10" ht="15" customHeight="1" thickBot="1" x14ac:dyDescent="0.35">
      <c r="A39" s="32"/>
      <c r="B39" s="269" t="s">
        <v>18</v>
      </c>
      <c r="C39" s="87"/>
      <c r="D39" s="13">
        <f t="shared" ref="D39:H39" si="4">SUM(D26:D38)</f>
        <v>987263149</v>
      </c>
      <c r="E39" s="19">
        <f t="shared" si="4"/>
        <v>468814666</v>
      </c>
      <c r="F39" s="270">
        <f>SUM(F26:F38)</f>
        <v>-518448483</v>
      </c>
      <c r="G39" s="271">
        <f t="shared" si="4"/>
        <v>433875966</v>
      </c>
      <c r="H39" s="271">
        <f t="shared" si="4"/>
        <v>-34938700</v>
      </c>
      <c r="I39" s="40"/>
      <c r="J39" s="40" t="s">
        <v>7</v>
      </c>
    </row>
    <row r="40" spans="1:10" ht="15" customHeight="1" thickTop="1" thickBot="1" x14ac:dyDescent="0.35">
      <c r="A40" s="33"/>
      <c r="B40" s="251" t="s">
        <v>475</v>
      </c>
      <c r="C40" s="88">
        <v>28</v>
      </c>
      <c r="D40" s="61" t="s">
        <v>7</v>
      </c>
      <c r="E40" s="62" t="s">
        <v>7</v>
      </c>
      <c r="F40" s="40" t="s">
        <v>7</v>
      </c>
      <c r="G40" s="39" t="s">
        <v>7</v>
      </c>
      <c r="H40" s="40" t="s">
        <v>7</v>
      </c>
      <c r="I40" s="40"/>
    </row>
    <row r="41" spans="1:10" ht="9" customHeight="1" x14ac:dyDescent="0.3">
      <c r="A41" s="370"/>
      <c r="B41" s="370"/>
      <c r="C41" s="370"/>
      <c r="D41" s="370"/>
      <c r="E41" s="370"/>
    </row>
    <row r="42" spans="1:10" ht="15" customHeight="1" x14ac:dyDescent="0.3">
      <c r="A42" s="364" t="s">
        <v>1042</v>
      </c>
      <c r="B42" s="364"/>
      <c r="C42" s="364"/>
      <c r="D42" s="364"/>
      <c r="E42" s="364"/>
    </row>
    <row r="43" spans="1:10" ht="15" customHeight="1" x14ac:dyDescent="0.3">
      <c r="A43" s="364" t="s">
        <v>103</v>
      </c>
      <c r="B43" s="364"/>
      <c r="C43" s="364"/>
      <c r="D43" s="364"/>
      <c r="E43" s="364"/>
    </row>
    <row r="44" spans="1:10" ht="9" customHeight="1" x14ac:dyDescent="0.3">
      <c r="A44" s="363"/>
      <c r="B44" s="363"/>
      <c r="C44" s="363"/>
      <c r="D44" s="363"/>
      <c r="E44" s="363"/>
    </row>
    <row r="45" spans="1:10" ht="15" customHeight="1" x14ac:dyDescent="0.3">
      <c r="A45" s="362" t="s">
        <v>14</v>
      </c>
      <c r="B45" s="362"/>
      <c r="C45" s="362" t="s">
        <v>53</v>
      </c>
      <c r="D45" s="362"/>
      <c r="E45" s="362"/>
    </row>
    <row r="46" spans="1:10" ht="15" customHeight="1" x14ac:dyDescent="0.3">
      <c r="A46" s="362" t="s">
        <v>15</v>
      </c>
      <c r="B46" s="362"/>
      <c r="C46" s="364" t="str">
        <f>+A1</f>
        <v>PROGEN RENEWABLES LIMITED</v>
      </c>
      <c r="D46" s="364"/>
      <c r="E46" s="364"/>
    </row>
    <row r="47" spans="1:10" ht="15" customHeight="1" x14ac:dyDescent="0.3">
      <c r="A47" s="362" t="s">
        <v>54</v>
      </c>
      <c r="B47" s="362"/>
      <c r="C47" s="157"/>
      <c r="D47" s="157"/>
      <c r="E47" s="157"/>
    </row>
    <row r="48" spans="1:10" ht="15" customHeight="1" x14ac:dyDescent="0.3">
      <c r="D48" s="64"/>
      <c r="E48" s="64"/>
    </row>
    <row r="49" spans="1:5" ht="15" customHeight="1" x14ac:dyDescent="0.3">
      <c r="D49" s="64"/>
      <c r="E49" s="64"/>
    </row>
    <row r="50" spans="1:5" ht="15" customHeight="1" x14ac:dyDescent="0.3">
      <c r="D50" s="64"/>
      <c r="E50" s="64"/>
    </row>
    <row r="51" spans="1:5" ht="15" customHeight="1" x14ac:dyDescent="0.3">
      <c r="A51" s="159" t="s">
        <v>83</v>
      </c>
      <c r="B51" s="106"/>
      <c r="C51" s="166" t="s">
        <v>820</v>
      </c>
      <c r="E51" s="166" t="s">
        <v>821</v>
      </c>
    </row>
    <row r="52" spans="1:5" ht="15" customHeight="1" x14ac:dyDescent="0.3">
      <c r="A52" s="159" t="s">
        <v>16</v>
      </c>
      <c r="B52" s="106"/>
      <c r="C52" s="166" t="s">
        <v>822</v>
      </c>
      <c r="E52" s="166" t="s">
        <v>879</v>
      </c>
    </row>
    <row r="53" spans="1:5" ht="15" customHeight="1" x14ac:dyDescent="0.3">
      <c r="A53" s="159" t="s">
        <v>56</v>
      </c>
      <c r="B53" s="106"/>
      <c r="C53" s="166" t="s">
        <v>827</v>
      </c>
      <c r="E53" s="166" t="s">
        <v>828</v>
      </c>
    </row>
    <row r="54" spans="1:5" ht="15" customHeight="1" x14ac:dyDescent="0.3">
      <c r="A54" s="159" t="s">
        <v>37</v>
      </c>
      <c r="B54" s="106"/>
      <c r="C54" s="106"/>
      <c r="D54" s="80"/>
      <c r="E54" s="80"/>
    </row>
    <row r="55" spans="1:5" ht="15" customHeight="1" x14ac:dyDescent="0.3">
      <c r="A55" s="159"/>
      <c r="B55" s="106"/>
      <c r="C55" s="106"/>
      <c r="D55" s="80"/>
      <c r="E55" s="80"/>
    </row>
    <row r="56" spans="1:5" ht="15" customHeight="1" x14ac:dyDescent="0.3">
      <c r="A56" s="159"/>
      <c r="B56" s="106"/>
      <c r="C56" s="106"/>
      <c r="D56" s="80"/>
      <c r="E56" s="80"/>
    </row>
    <row r="57" spans="1:5" ht="15" customHeight="1" x14ac:dyDescent="0.3">
      <c r="A57" s="159" t="s">
        <v>7</v>
      </c>
      <c r="B57" s="106"/>
      <c r="C57" s="106"/>
      <c r="D57" s="80"/>
      <c r="E57" s="80"/>
    </row>
    <row r="58" spans="1:5" ht="15" customHeight="1" x14ac:dyDescent="0.3">
      <c r="A58" s="159" t="s">
        <v>51</v>
      </c>
      <c r="B58" s="106"/>
      <c r="C58" s="80" t="s">
        <v>823</v>
      </c>
      <c r="E58" s="80" t="s">
        <v>826</v>
      </c>
    </row>
    <row r="59" spans="1:5" ht="15" customHeight="1" x14ac:dyDescent="0.3">
      <c r="A59" s="159" t="s">
        <v>57</v>
      </c>
      <c r="B59" s="106"/>
      <c r="C59" s="80" t="s">
        <v>824</v>
      </c>
      <c r="E59" s="80" t="s">
        <v>825</v>
      </c>
    </row>
    <row r="60" spans="1:5" ht="15" customHeight="1" x14ac:dyDescent="0.3">
      <c r="C60" s="167" t="s">
        <v>829</v>
      </c>
      <c r="E60" s="167" t="s">
        <v>941</v>
      </c>
    </row>
    <row r="61" spans="1:5" ht="15" customHeight="1" x14ac:dyDescent="0.3">
      <c r="D61" s="165"/>
      <c r="E61" s="165"/>
    </row>
  </sheetData>
  <sheetProtection algorithmName="SHA-512" hashValue="7KUB/0eqVfHTx1+TsI4riXM9w/VN/Ic1Mdwdup+4H6PhHKXZzwvYXi7dwuEd2hwEmHoeqopixXasudPAMPLg0Q==" saltValue="0lnykyYmi3Lgz9kbwOjVQA==" spinCount="100000" sheet="1" objects="1" scenarios="1"/>
  <mergeCells count="15">
    <mergeCell ref="A47:B47"/>
    <mergeCell ref="A44:E44"/>
    <mergeCell ref="C46:E46"/>
    <mergeCell ref="C45:E45"/>
    <mergeCell ref="A1:E1"/>
    <mergeCell ref="A2:E2"/>
    <mergeCell ref="A4:E4"/>
    <mergeCell ref="A6:B6"/>
    <mergeCell ref="A42:E42"/>
    <mergeCell ref="A3:E3"/>
    <mergeCell ref="A5:E5"/>
    <mergeCell ref="A41:E41"/>
    <mergeCell ref="A43:E43"/>
    <mergeCell ref="A45:B45"/>
    <mergeCell ref="A46:B46"/>
  </mergeCells>
  <pageMargins left="0.59055118110236227" right="0.59055118110236227" top="0.59055118110236227" bottom="0.59055118110236227" header="0" footer="0"/>
  <pageSetup paperSize="9"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5"/>
  <sheetViews>
    <sheetView showGridLines="0" view="pageBreakPreview" topLeftCell="A31" zoomScaleNormal="100" zoomScaleSheetLayoutView="100" workbookViewId="0">
      <selection activeCell="A47" sqref="A46:B47"/>
    </sheetView>
  </sheetViews>
  <sheetFormatPr defaultColWidth="11.109375" defaultRowHeight="15.6" customHeight="1" x14ac:dyDescent="0.3"/>
  <cols>
    <col min="1" max="1" width="5.109375" style="81" customWidth="1"/>
    <col min="2" max="2" width="46.109375" style="81" customWidth="1"/>
    <col min="3" max="3" width="8.109375" style="81" customWidth="1"/>
    <col min="4" max="5" width="23.33203125" style="105" customWidth="1"/>
    <col min="6" max="6" width="20.5546875" style="81" customWidth="1"/>
    <col min="7" max="7" width="17.44140625" style="81" bestFit="1" customWidth="1"/>
    <col min="8" max="8" width="18.44140625" style="81" bestFit="1" customWidth="1"/>
    <col min="9" max="9" width="17.33203125" style="81" bestFit="1" customWidth="1"/>
    <col min="10" max="10" width="16.6640625" style="81" bestFit="1" customWidth="1"/>
    <col min="11" max="16384" width="11.109375" style="81"/>
  </cols>
  <sheetData>
    <row r="1" spans="1:8" ht="15.6" customHeight="1" x14ac:dyDescent="0.3">
      <c r="A1" s="365" t="str">
        <f>+BS!A1</f>
        <v>PROGEN RENEWABLES LIMITED</v>
      </c>
      <c r="B1" s="365"/>
      <c r="C1" s="365"/>
      <c r="D1" s="365"/>
      <c r="E1" s="365"/>
    </row>
    <row r="2" spans="1:8" ht="15.6" customHeight="1" x14ac:dyDescent="0.3">
      <c r="A2" s="366" t="str">
        <f>+BS!A2</f>
        <v>87 A, First Floor, Sathy Road, Muniappan Koil Street, Ganapathy, Coimbatore,Tamil Nadu - 641 006.</v>
      </c>
      <c r="B2" s="366"/>
      <c r="C2" s="366"/>
      <c r="D2" s="366"/>
      <c r="E2" s="366"/>
    </row>
    <row r="3" spans="1:8" ht="15.6" customHeight="1" x14ac:dyDescent="0.3">
      <c r="A3" s="366" t="str">
        <f>+BS!A3</f>
        <v>CIN : U31909TZ2017PLC029803</v>
      </c>
      <c r="B3" s="366"/>
      <c r="C3" s="366"/>
      <c r="D3" s="366"/>
      <c r="E3" s="366"/>
    </row>
    <row r="4" spans="1:8" ht="15.6" customHeight="1" x14ac:dyDescent="0.3">
      <c r="A4" s="366" t="s">
        <v>242</v>
      </c>
      <c r="B4" s="366"/>
      <c r="C4" s="366"/>
      <c r="D4" s="366"/>
      <c r="E4" s="366"/>
    </row>
    <row r="5" spans="1:8" ht="15.6" customHeight="1" thickBot="1" x14ac:dyDescent="0.35">
      <c r="A5" s="369" t="s">
        <v>501</v>
      </c>
      <c r="B5" s="369"/>
      <c r="C5" s="369"/>
      <c r="D5" s="369"/>
      <c r="E5" s="369"/>
    </row>
    <row r="6" spans="1:8" ht="36" customHeight="1" x14ac:dyDescent="0.3">
      <c r="A6" s="367" t="s">
        <v>0</v>
      </c>
      <c r="B6" s="368"/>
      <c r="C6" s="79" t="s">
        <v>12</v>
      </c>
      <c r="D6" s="93" t="s">
        <v>1</v>
      </c>
      <c r="E6" s="94" t="s">
        <v>2</v>
      </c>
      <c r="F6" s="122" t="s">
        <v>467</v>
      </c>
    </row>
    <row r="7" spans="1:8" ht="15.6" customHeight="1" x14ac:dyDescent="0.3">
      <c r="A7" s="37" t="s">
        <v>3</v>
      </c>
      <c r="B7" s="95" t="s">
        <v>104</v>
      </c>
      <c r="C7" s="87">
        <v>18</v>
      </c>
      <c r="D7" s="52">
        <f>+'Notes-P&amp;L'!C9</f>
        <v>1346412261</v>
      </c>
      <c r="E7" s="59">
        <f>+'Notes-P&amp;L'!D13</f>
        <v>1116291072</v>
      </c>
      <c r="F7" s="102">
        <f>+'Notes-P&amp;L'!E9</f>
        <v>565057844</v>
      </c>
      <c r="G7" s="96"/>
      <c r="H7" s="96"/>
    </row>
    <row r="8" spans="1:8" ht="15.6" customHeight="1" x14ac:dyDescent="0.3">
      <c r="A8" s="32" t="s">
        <v>4</v>
      </c>
      <c r="B8" s="97" t="s">
        <v>105</v>
      </c>
      <c r="C8" s="87">
        <v>19</v>
      </c>
      <c r="D8" s="52">
        <f>+'Notes-P&amp;L'!C23</f>
        <v>876508</v>
      </c>
      <c r="E8" s="59">
        <f>+'Notes-P&amp;L'!D23</f>
        <v>338274</v>
      </c>
      <c r="F8" s="102">
        <f>+'Notes-P&amp;L'!E23</f>
        <v>0</v>
      </c>
      <c r="G8" s="96"/>
    </row>
    <row r="9" spans="1:8" ht="15.6" customHeight="1" thickBot="1" x14ac:dyDescent="0.35">
      <c r="A9" s="32" t="s">
        <v>5</v>
      </c>
      <c r="B9" s="98" t="s">
        <v>193</v>
      </c>
      <c r="C9" s="87"/>
      <c r="D9" s="99">
        <f>SUM(D7:D8)</f>
        <v>1347288769</v>
      </c>
      <c r="E9" s="100">
        <f>SUM(E7:E8)</f>
        <v>1116629346</v>
      </c>
      <c r="F9" s="129">
        <f>SUM(F7:F8)</f>
        <v>565057844</v>
      </c>
      <c r="H9" s="102"/>
    </row>
    <row r="10" spans="1:8" ht="15.6" customHeight="1" thickTop="1" x14ac:dyDescent="0.3">
      <c r="A10" s="32" t="s">
        <v>6</v>
      </c>
      <c r="B10" s="101" t="s">
        <v>192</v>
      </c>
      <c r="C10" s="87"/>
      <c r="D10" s="52"/>
      <c r="E10" s="59"/>
      <c r="F10" s="81" t="s">
        <v>7</v>
      </c>
      <c r="H10" s="102"/>
    </row>
    <row r="11" spans="1:8" ht="15.6" customHeight="1" x14ac:dyDescent="0.3">
      <c r="A11" s="32"/>
      <c r="B11" s="97" t="s">
        <v>468</v>
      </c>
      <c r="C11" s="87">
        <v>20</v>
      </c>
      <c r="D11" s="11">
        <f>+'Notes-P&amp;L'!C32</f>
        <v>713272184</v>
      </c>
      <c r="E11" s="59">
        <f>+'Notes-P&amp;L'!D32</f>
        <v>690532439</v>
      </c>
      <c r="F11" s="96">
        <f>+'Notes-P&amp;L'!E32</f>
        <v>321635156</v>
      </c>
      <c r="G11" s="102"/>
      <c r="H11" s="102"/>
    </row>
    <row r="12" spans="1:8" ht="15.6" customHeight="1" x14ac:dyDescent="0.3">
      <c r="A12" s="32"/>
      <c r="B12" s="97" t="s">
        <v>187</v>
      </c>
      <c r="C12" s="87">
        <v>21</v>
      </c>
      <c r="D12" s="11">
        <f>+'Notes-P&amp;L'!C43</f>
        <v>78688215</v>
      </c>
      <c r="E12" s="59">
        <f>+'Notes-P&amp;L'!D43</f>
        <v>140135028</v>
      </c>
      <c r="F12" s="96">
        <f>+'Notes-P&amp;L'!E43</f>
        <v>160557822</v>
      </c>
      <c r="G12" s="102"/>
      <c r="H12" s="96"/>
    </row>
    <row r="13" spans="1:8" ht="15.6" customHeight="1" x14ac:dyDescent="0.3">
      <c r="A13" s="32"/>
      <c r="B13" s="97" t="s">
        <v>188</v>
      </c>
      <c r="C13" s="87">
        <v>22</v>
      </c>
      <c r="D13" s="11">
        <f>+'Notes-P&amp;L'!C60</f>
        <v>28640681</v>
      </c>
      <c r="E13" s="59">
        <f>+'Notes-P&amp;L'!D60</f>
        <v>11611968</v>
      </c>
      <c r="F13" s="96">
        <f>+'Notes-P&amp;L'!E60</f>
        <v>16958565</v>
      </c>
      <c r="G13" s="102"/>
      <c r="H13" s="96"/>
    </row>
    <row r="14" spans="1:8" ht="15.6" customHeight="1" x14ac:dyDescent="0.3">
      <c r="A14" s="32"/>
      <c r="B14" s="97" t="s">
        <v>106</v>
      </c>
      <c r="C14" s="87">
        <v>23</v>
      </c>
      <c r="D14" s="11">
        <f>+'Notes-P&amp;L'!C68</f>
        <v>2636496</v>
      </c>
      <c r="E14" s="59">
        <f>+'Notes-P&amp;L'!D68</f>
        <v>2042977</v>
      </c>
      <c r="F14" s="96">
        <f>+'Notes-P&amp;L'!E68</f>
        <v>289520</v>
      </c>
      <c r="G14" s="102"/>
      <c r="H14" s="102"/>
    </row>
    <row r="15" spans="1:8" ht="15.6" customHeight="1" x14ac:dyDescent="0.3">
      <c r="A15" s="32"/>
      <c r="B15" s="97" t="s">
        <v>189</v>
      </c>
      <c r="C15" s="87">
        <v>24</v>
      </c>
      <c r="D15" s="11">
        <f>+'Notes-P&amp;L'!C75</f>
        <v>1813010</v>
      </c>
      <c r="E15" s="59">
        <f>+'Notes-P&amp;L'!D75</f>
        <v>1079988</v>
      </c>
      <c r="F15" s="96">
        <f>+'Notes-P&amp;L'!E75</f>
        <v>905315</v>
      </c>
      <c r="G15" s="102"/>
      <c r="H15" s="96"/>
    </row>
    <row r="16" spans="1:8" ht="15.6" customHeight="1" x14ac:dyDescent="0.3">
      <c r="A16" s="32"/>
      <c r="B16" s="97" t="s">
        <v>190</v>
      </c>
      <c r="C16" s="87">
        <v>25</v>
      </c>
      <c r="D16" s="52">
        <f>+'Notes-P&amp;L'!C152</f>
        <v>346631113</v>
      </c>
      <c r="E16" s="59">
        <f>+'Notes-P&amp;L'!D152</f>
        <v>162397976</v>
      </c>
      <c r="F16" s="96">
        <f>+'Notes-P&amp;L'!E152</f>
        <v>49699327</v>
      </c>
      <c r="G16" s="102"/>
      <c r="H16" s="96" t="s">
        <v>7</v>
      </c>
    </row>
    <row r="17" spans="1:10" ht="15.6" customHeight="1" thickBot="1" x14ac:dyDescent="0.35">
      <c r="A17" s="32"/>
      <c r="B17" s="98" t="s">
        <v>191</v>
      </c>
      <c r="C17" s="87" t="s">
        <v>7</v>
      </c>
      <c r="D17" s="99">
        <f>SUM(D11:D16)</f>
        <v>1171681699</v>
      </c>
      <c r="E17" s="100">
        <f>SUM(E11:E16)</f>
        <v>1007800376</v>
      </c>
      <c r="F17" s="128">
        <f>SUM(F11:F16)</f>
        <v>550045705</v>
      </c>
      <c r="G17" s="102"/>
      <c r="H17" s="102" t="s">
        <v>7</v>
      </c>
      <c r="I17" s="102" t="s">
        <v>7</v>
      </c>
      <c r="J17" s="102" t="s">
        <v>7</v>
      </c>
    </row>
    <row r="18" spans="1:10" ht="15.6" customHeight="1" thickTop="1" x14ac:dyDescent="0.3">
      <c r="A18" s="32" t="s">
        <v>8</v>
      </c>
      <c r="B18" s="97" t="s">
        <v>1024</v>
      </c>
      <c r="C18" s="87"/>
      <c r="D18" s="52" t="s">
        <v>7</v>
      </c>
      <c r="E18" s="59" t="s">
        <v>7</v>
      </c>
      <c r="H18" s="246" t="s">
        <v>7</v>
      </c>
      <c r="I18" s="80"/>
      <c r="J18" s="96"/>
    </row>
    <row r="19" spans="1:10" ht="15.6" customHeight="1" x14ac:dyDescent="0.3">
      <c r="A19" s="32"/>
      <c r="B19" s="97" t="s">
        <v>1025</v>
      </c>
      <c r="C19" s="87"/>
      <c r="D19" s="52">
        <f>+D9-D17</f>
        <v>175607070</v>
      </c>
      <c r="E19" s="59">
        <f>+E9-E17</f>
        <v>108828970</v>
      </c>
      <c r="F19" s="102">
        <f>+F9-F17</f>
        <v>15012139</v>
      </c>
      <c r="G19" s="96"/>
      <c r="H19" s="96" t="s">
        <v>7</v>
      </c>
      <c r="I19" s="96"/>
      <c r="J19" s="96"/>
    </row>
    <row r="20" spans="1:10" ht="15.6" customHeight="1" x14ac:dyDescent="0.3">
      <c r="A20" s="32" t="s">
        <v>9</v>
      </c>
      <c r="B20" s="97" t="s">
        <v>107</v>
      </c>
      <c r="C20" s="87"/>
      <c r="D20" s="52">
        <v>0</v>
      </c>
      <c r="E20" s="59">
        <v>0</v>
      </c>
      <c r="F20" s="102">
        <v>0</v>
      </c>
      <c r="G20" s="96"/>
      <c r="H20" s="96"/>
    </row>
    <row r="21" spans="1:10" ht="15.6" customHeight="1" x14ac:dyDescent="0.3">
      <c r="A21" s="32" t="s">
        <v>10</v>
      </c>
      <c r="B21" s="97" t="s">
        <v>1026</v>
      </c>
      <c r="C21" s="87"/>
      <c r="D21" s="52">
        <f>+D19-D20</f>
        <v>175607070</v>
      </c>
      <c r="E21" s="59">
        <f>+E19-E20</f>
        <v>108828970</v>
      </c>
      <c r="F21" s="102">
        <f>+F19-F20</f>
        <v>15012139</v>
      </c>
      <c r="H21" s="102"/>
      <c r="I21" s="189"/>
    </row>
    <row r="22" spans="1:10" ht="15.6" customHeight="1" x14ac:dyDescent="0.3">
      <c r="A22" s="32"/>
      <c r="B22" s="97" t="s">
        <v>1027</v>
      </c>
      <c r="C22" s="87"/>
      <c r="D22" s="52"/>
      <c r="E22" s="59"/>
      <c r="F22" s="102"/>
      <c r="H22" s="102"/>
      <c r="I22" s="189"/>
    </row>
    <row r="23" spans="1:10" ht="15.6" customHeight="1" x14ac:dyDescent="0.3">
      <c r="A23" s="32" t="s">
        <v>7</v>
      </c>
      <c r="B23" s="97" t="s">
        <v>1031</v>
      </c>
      <c r="C23" s="87"/>
      <c r="D23" s="52">
        <v>0</v>
      </c>
      <c r="E23" s="59">
        <v>0</v>
      </c>
      <c r="F23" s="102">
        <v>0</v>
      </c>
      <c r="H23" s="102"/>
    </row>
    <row r="24" spans="1:10" ht="15.6" customHeight="1" x14ac:dyDescent="0.3">
      <c r="A24" s="32"/>
      <c r="B24" s="97" t="s">
        <v>1032</v>
      </c>
      <c r="C24" s="87">
        <v>34</v>
      </c>
      <c r="D24" s="52">
        <f>4823150-183832</f>
        <v>4639318</v>
      </c>
      <c r="E24" s="59">
        <v>0</v>
      </c>
      <c r="F24" s="102">
        <v>0</v>
      </c>
      <c r="H24" s="102"/>
    </row>
    <row r="25" spans="1:10" ht="15.6" customHeight="1" thickBot="1" x14ac:dyDescent="0.35">
      <c r="A25" s="32" t="s">
        <v>11</v>
      </c>
      <c r="B25" s="98" t="s">
        <v>194</v>
      </c>
      <c r="C25" s="87"/>
      <c r="D25" s="99">
        <f>+D21-D23-D24</f>
        <v>170967752</v>
      </c>
      <c r="E25" s="84">
        <f>+E21-E23</f>
        <v>108828970</v>
      </c>
      <c r="F25" s="128">
        <f>+F21-F23</f>
        <v>15012139</v>
      </c>
      <c r="G25" s="96"/>
      <c r="H25" s="246"/>
    </row>
    <row r="26" spans="1:10" ht="15.6" customHeight="1" thickTop="1" x14ac:dyDescent="0.3">
      <c r="A26" s="32" t="s">
        <v>1029</v>
      </c>
      <c r="B26" s="101" t="s">
        <v>195</v>
      </c>
      <c r="C26" s="87">
        <v>31</v>
      </c>
      <c r="D26" s="52"/>
      <c r="E26" s="59"/>
      <c r="F26" s="102"/>
      <c r="G26" s="96"/>
      <c r="H26" s="102"/>
    </row>
    <row r="27" spans="1:10" ht="15.6" customHeight="1" x14ac:dyDescent="0.3">
      <c r="A27" s="32"/>
      <c r="B27" s="97" t="s">
        <v>108</v>
      </c>
      <c r="C27" s="87"/>
      <c r="D27" s="52">
        <f>+Sheet1!E18</f>
        <v>46429720</v>
      </c>
      <c r="E27" s="59">
        <v>27635821</v>
      </c>
      <c r="F27" s="102">
        <v>0</v>
      </c>
      <c r="H27" s="96"/>
    </row>
    <row r="28" spans="1:10" ht="15.6" customHeight="1" x14ac:dyDescent="0.3">
      <c r="A28" s="32"/>
      <c r="B28" s="97" t="s">
        <v>479</v>
      </c>
      <c r="C28" s="87"/>
      <c r="D28" s="52">
        <v>0</v>
      </c>
      <c r="E28" s="59">
        <v>9545305</v>
      </c>
      <c r="F28" s="102">
        <v>0</v>
      </c>
      <c r="G28" s="102"/>
      <c r="H28" s="96"/>
      <c r="I28" s="102"/>
    </row>
    <row r="29" spans="1:10" ht="15.6" customHeight="1" x14ac:dyDescent="0.3">
      <c r="A29" s="32"/>
      <c r="B29" s="97" t="s">
        <v>1133</v>
      </c>
      <c r="C29" s="87" t="s">
        <v>7</v>
      </c>
      <c r="D29" s="52">
        <f>+'Notes - '!D42:E42</f>
        <v>-1757446</v>
      </c>
      <c r="E29" s="59">
        <v>62995</v>
      </c>
      <c r="F29" s="102">
        <v>102745</v>
      </c>
      <c r="H29" s="96"/>
      <c r="I29" s="102"/>
    </row>
    <row r="30" spans="1:10" ht="15.6" customHeight="1" thickBot="1" x14ac:dyDescent="0.35">
      <c r="A30" s="32" t="s">
        <v>7</v>
      </c>
      <c r="B30" s="97" t="s">
        <v>7</v>
      </c>
      <c r="C30" s="87"/>
      <c r="D30" s="99">
        <f>SUM(D27:D29)</f>
        <v>44672274</v>
      </c>
      <c r="E30" s="84">
        <f>SUM(E27:E29)</f>
        <v>37244121</v>
      </c>
      <c r="F30" s="129">
        <f>SUM(F27:F29)</f>
        <v>102745</v>
      </c>
      <c r="H30" s="96"/>
      <c r="I30" s="102"/>
    </row>
    <row r="31" spans="1:10" ht="15.6" customHeight="1" thickTop="1" x14ac:dyDescent="0.3">
      <c r="A31" s="32" t="s">
        <v>1028</v>
      </c>
      <c r="B31" s="97" t="s">
        <v>109</v>
      </c>
      <c r="C31" s="87"/>
      <c r="D31" s="52">
        <f>+D25-D30</f>
        <v>126295478</v>
      </c>
      <c r="E31" s="59">
        <f>+E25-E30</f>
        <v>71584849</v>
      </c>
      <c r="F31" s="102">
        <f>+F25-F30</f>
        <v>14909394</v>
      </c>
      <c r="H31" s="247"/>
    </row>
    <row r="32" spans="1:10" ht="15.6" customHeight="1" x14ac:dyDescent="0.3">
      <c r="A32" s="32"/>
      <c r="B32" s="97" t="s">
        <v>1030</v>
      </c>
      <c r="C32" s="87"/>
      <c r="D32" s="52"/>
      <c r="E32" s="59"/>
      <c r="F32" s="102"/>
      <c r="H32" s="102" t="s">
        <v>7</v>
      </c>
    </row>
    <row r="33" spans="1:10" ht="15.6" customHeight="1" thickBot="1" x14ac:dyDescent="0.35">
      <c r="A33" s="32" t="s">
        <v>13</v>
      </c>
      <c r="B33" s="97" t="s">
        <v>419</v>
      </c>
      <c r="C33" s="87"/>
      <c r="D33" s="99">
        <f>SUM(D31:D32)</f>
        <v>126295478</v>
      </c>
      <c r="E33" s="84">
        <f>SUM(E31:E32)</f>
        <v>71584849</v>
      </c>
      <c r="F33" s="129">
        <f>SUM(F31:F32)</f>
        <v>14909394</v>
      </c>
      <c r="G33" s="102" t="s">
        <v>7</v>
      </c>
      <c r="H33" s="96"/>
      <c r="I33" s="96"/>
    </row>
    <row r="34" spans="1:10" ht="15.6" customHeight="1" thickTop="1" x14ac:dyDescent="0.3">
      <c r="A34" s="32" t="s">
        <v>420</v>
      </c>
      <c r="B34" s="101" t="s">
        <v>110</v>
      </c>
      <c r="C34" s="87"/>
      <c r="D34" s="52"/>
      <c r="E34" s="59"/>
      <c r="F34" s="102"/>
      <c r="G34" s="96" t="s">
        <v>7</v>
      </c>
      <c r="H34" s="96" t="s">
        <v>7</v>
      </c>
      <c r="I34" s="81" t="s">
        <v>7</v>
      </c>
    </row>
    <row r="35" spans="1:10" ht="15.6" customHeight="1" x14ac:dyDescent="0.3">
      <c r="A35" s="32"/>
      <c r="B35" s="97" t="s">
        <v>66</v>
      </c>
      <c r="C35" s="87">
        <v>33</v>
      </c>
      <c r="D35" s="52">
        <f>+D33/'Note 4 - SOCES'!D22</f>
        <v>674.56884801093872</v>
      </c>
      <c r="E35" s="59">
        <f>+E33/'Note 4 - SOCES'!F22</f>
        <v>429.50823498353003</v>
      </c>
      <c r="F35" s="102">
        <f>+F33/'Note 4 - SOCES'!H22</f>
        <v>149.09394</v>
      </c>
      <c r="H35" s="96" t="s">
        <v>7</v>
      </c>
    </row>
    <row r="36" spans="1:10" ht="15.6" customHeight="1" thickBot="1" x14ac:dyDescent="0.35">
      <c r="A36" s="33"/>
      <c r="B36" s="103" t="s">
        <v>67</v>
      </c>
      <c r="C36" s="88">
        <v>33</v>
      </c>
      <c r="D36" s="55">
        <f>+D33/'Note 4 - SOCES'!D22</f>
        <v>674.56884801093872</v>
      </c>
      <c r="E36" s="83">
        <f>+E33/'Note 4 - SOCES'!F22</f>
        <v>429.50823498353003</v>
      </c>
      <c r="F36" s="102">
        <f>+F33/'Note 4 - SOCES'!H22</f>
        <v>149.09394</v>
      </c>
    </row>
    <row r="37" spans="1:10" ht="15.6" customHeight="1" x14ac:dyDescent="0.3">
      <c r="D37" s="102" t="s">
        <v>7</v>
      </c>
      <c r="E37" s="104"/>
    </row>
    <row r="38" spans="1:10" s="163" customFormat="1" ht="15.6" customHeight="1" x14ac:dyDescent="0.3">
      <c r="A38" s="371" t="str">
        <f>+BS!A42</f>
        <v>The Accompanying Notes 1 -  46 are an Integral Part of Financial Statements</v>
      </c>
      <c r="B38" s="371"/>
      <c r="C38" s="371"/>
      <c r="D38" s="371"/>
      <c r="E38" s="371"/>
    </row>
    <row r="39" spans="1:10" s="163" customFormat="1" ht="15.6" customHeight="1" x14ac:dyDescent="0.3">
      <c r="A39" s="371" t="str">
        <f>+BS!A43</f>
        <v>As Per our Report of even date Attached</v>
      </c>
      <c r="B39" s="371"/>
      <c r="C39" s="371"/>
      <c r="D39" s="371"/>
      <c r="E39" s="371"/>
    </row>
    <row r="40" spans="1:10" s="163" customFormat="1" ht="15.6" customHeight="1" x14ac:dyDescent="0.3">
      <c r="A40" s="372"/>
      <c r="B40" s="372"/>
      <c r="C40" s="372"/>
      <c r="D40" s="372"/>
      <c r="E40" s="372"/>
    </row>
    <row r="41" spans="1:10" s="163" customFormat="1" ht="15.6" customHeight="1" x14ac:dyDescent="0.3">
      <c r="A41" s="362" t="s">
        <v>14</v>
      </c>
      <c r="B41" s="362"/>
      <c r="C41" s="362" t="s">
        <v>21</v>
      </c>
      <c r="D41" s="362"/>
      <c r="E41" s="362"/>
      <c r="G41" s="362"/>
      <c r="H41" s="362"/>
      <c r="I41" s="362"/>
      <c r="J41" s="362"/>
    </row>
    <row r="42" spans="1:10" s="163" customFormat="1" ht="15.6" customHeight="1" x14ac:dyDescent="0.3">
      <c r="A42" s="362" t="s">
        <v>15</v>
      </c>
      <c r="B42" s="362"/>
      <c r="C42" s="362" t="str">
        <f>+BS!A1</f>
        <v>PROGEN RENEWABLES LIMITED</v>
      </c>
      <c r="D42" s="362"/>
      <c r="E42" s="362"/>
      <c r="G42" s="362"/>
      <c r="H42" s="362"/>
      <c r="I42" s="362"/>
      <c r="J42" s="362"/>
    </row>
    <row r="43" spans="1:10" s="163" customFormat="1" ht="15.6" customHeight="1" x14ac:dyDescent="0.3">
      <c r="A43" s="362" t="s">
        <v>54</v>
      </c>
      <c r="B43" s="362"/>
      <c r="D43" s="161"/>
      <c r="E43" s="161"/>
      <c r="G43" s="362"/>
      <c r="H43" s="362"/>
      <c r="I43" s="362"/>
      <c r="J43" s="362"/>
    </row>
    <row r="44" spans="1:10" s="163" customFormat="1" ht="15.6" customHeight="1" x14ac:dyDescent="0.3">
      <c r="D44" s="161"/>
      <c r="E44" s="161"/>
    </row>
    <row r="45" spans="1:10" s="163" customFormat="1" ht="15.6" customHeight="1" x14ac:dyDescent="0.3">
      <c r="D45" s="161"/>
      <c r="E45" s="161"/>
    </row>
    <row r="46" spans="1:10" s="163" customFormat="1" ht="15.6" customHeight="1" x14ac:dyDescent="0.3">
      <c r="D46" s="161"/>
      <c r="E46" s="161"/>
    </row>
    <row r="47" spans="1:10" s="163" customFormat="1" ht="15.6" customHeight="1" x14ac:dyDescent="0.3">
      <c r="A47" s="362" t="s">
        <v>55</v>
      </c>
      <c r="B47" s="362"/>
      <c r="C47" s="168" t="str">
        <f>+BS!C51</f>
        <v>Alfred Vinod Antony</v>
      </c>
      <c r="E47" s="168" t="str">
        <f>+BS!E51</f>
        <v>Veena Jose</v>
      </c>
      <c r="G47" s="362"/>
      <c r="H47" s="362"/>
      <c r="I47" s="362"/>
      <c r="J47" s="362"/>
    </row>
    <row r="48" spans="1:10" s="163" customFormat="1" ht="15.6" customHeight="1" x14ac:dyDescent="0.3">
      <c r="A48" s="362" t="s">
        <v>16</v>
      </c>
      <c r="B48" s="362"/>
      <c r="C48" s="168" t="str">
        <f>+BS!C52</f>
        <v>Managing Director</v>
      </c>
      <c r="E48" s="168" t="str">
        <f>+BS!E52</f>
        <v>Director &amp; CFO</v>
      </c>
      <c r="G48" s="362"/>
      <c r="H48" s="362"/>
      <c r="I48" s="362"/>
      <c r="J48" s="362"/>
    </row>
    <row r="49" spans="1:10" s="163" customFormat="1" ht="15.6" customHeight="1" x14ac:dyDescent="0.3">
      <c r="A49" s="362" t="s">
        <v>56</v>
      </c>
      <c r="B49" s="362"/>
      <c r="C49" s="168" t="str">
        <f>+BS!C53</f>
        <v>DIN No: 02776734</v>
      </c>
      <c r="E49" s="168" t="str">
        <f>+BS!E53</f>
        <v>DIN No: 08017313</v>
      </c>
      <c r="G49" s="362"/>
      <c r="H49" s="362"/>
      <c r="I49" s="362"/>
      <c r="J49" s="362"/>
    </row>
    <row r="50" spans="1:10" s="163" customFormat="1" ht="15.6" customHeight="1" x14ac:dyDescent="0.3">
      <c r="A50" s="159" t="str">
        <f>+BS!A54</f>
        <v>UDIN:</v>
      </c>
      <c r="B50" s="159"/>
      <c r="C50" s="159"/>
      <c r="D50" s="159"/>
      <c r="E50" s="159"/>
    </row>
    <row r="51" spans="1:10" s="163" customFormat="1" ht="15.6" customHeight="1" x14ac:dyDescent="0.3">
      <c r="A51" s="159" t="s">
        <v>7</v>
      </c>
      <c r="B51" s="159"/>
      <c r="C51" s="159"/>
      <c r="D51" s="159"/>
      <c r="E51" s="159"/>
    </row>
    <row r="52" spans="1:10" s="163" customFormat="1" ht="15.6" customHeight="1" x14ac:dyDescent="0.3">
      <c r="A52" s="159" t="s">
        <v>7</v>
      </c>
      <c r="B52" s="159"/>
      <c r="C52" s="159"/>
      <c r="D52" s="159"/>
      <c r="E52" s="159"/>
    </row>
    <row r="53" spans="1:10" s="163" customFormat="1" ht="15.6" customHeight="1" x14ac:dyDescent="0.3">
      <c r="C53" s="168" t="str">
        <f>+BS!C58</f>
        <v>Arvind Jain</v>
      </c>
      <c r="E53" s="168" t="str">
        <f>+BS!E58</f>
        <v>Migael Anitha Christina</v>
      </c>
    </row>
    <row r="54" spans="1:10" s="163" customFormat="1" ht="15.6" customHeight="1" x14ac:dyDescent="0.3">
      <c r="A54" s="158" t="str">
        <f>+BS!A58</f>
        <v>PLACE: COIMBATORE</v>
      </c>
      <c r="C54" s="168" t="str">
        <f>+BS!C59</f>
        <v>Whole-time Director</v>
      </c>
      <c r="E54" s="168" t="str">
        <f>+BS!E59</f>
        <v>Company Secretary</v>
      </c>
    </row>
    <row r="55" spans="1:10" s="163" customFormat="1" ht="15.6" customHeight="1" x14ac:dyDescent="0.3">
      <c r="A55" s="158" t="str">
        <f>+BS!A59</f>
        <v xml:space="preserve">DATE: </v>
      </c>
      <c r="C55" s="168" t="str">
        <f>+BS!C60</f>
        <v>DIN No: 07218435</v>
      </c>
      <c r="E55" s="168" t="str">
        <f>+BS!E60</f>
        <v>M.No. 30946</v>
      </c>
    </row>
  </sheetData>
  <sheetProtection sheet="1" objects="1" scenarios="1"/>
  <mergeCells count="29">
    <mergeCell ref="I49:J49"/>
    <mergeCell ref="G41:H41"/>
    <mergeCell ref="G42:H42"/>
    <mergeCell ref="G43:H43"/>
    <mergeCell ref="G47:H47"/>
    <mergeCell ref="G48:H48"/>
    <mergeCell ref="G49:H49"/>
    <mergeCell ref="I41:J41"/>
    <mergeCell ref="I42:J42"/>
    <mergeCell ref="I43:J43"/>
    <mergeCell ref="I47:J47"/>
    <mergeCell ref="I48:J48"/>
    <mergeCell ref="A38:E38"/>
    <mergeCell ref="A6:B6"/>
    <mergeCell ref="A1:E1"/>
    <mergeCell ref="A2:E2"/>
    <mergeCell ref="A4:E4"/>
    <mergeCell ref="A3:E3"/>
    <mergeCell ref="A5:E5"/>
    <mergeCell ref="A47:B47"/>
    <mergeCell ref="A48:B48"/>
    <mergeCell ref="A49:B49"/>
    <mergeCell ref="A39:E39"/>
    <mergeCell ref="A40:E40"/>
    <mergeCell ref="C41:E41"/>
    <mergeCell ref="A41:B41"/>
    <mergeCell ref="A42:B42"/>
    <mergeCell ref="A43:B43"/>
    <mergeCell ref="C42:E42"/>
  </mergeCells>
  <pageMargins left="0.59055118110236227" right="0.59055118110236227" top="0.59055118110236227" bottom="0.59055118110236227" header="0" footer="0"/>
  <pageSetup paperSize="9" scale="8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4"/>
  <sheetViews>
    <sheetView showGridLines="0" view="pageBreakPreview" topLeftCell="A64" zoomScaleNormal="100" zoomScaleSheetLayoutView="100" workbookViewId="0">
      <selection activeCell="B74" sqref="B74"/>
    </sheetView>
  </sheetViews>
  <sheetFormatPr defaultColWidth="9.109375" defaultRowHeight="16.95" customHeight="1" x14ac:dyDescent="0.3"/>
  <cols>
    <col min="1" max="1" width="5.88671875" style="31" customWidth="1"/>
    <col min="2" max="2" width="48.44140625" style="31" customWidth="1"/>
    <col min="3" max="3" width="6.33203125" style="31" customWidth="1"/>
    <col min="4" max="5" width="22.33203125" style="31" customWidth="1"/>
    <col min="6" max="6" width="17.44140625" style="31" bestFit="1" customWidth="1"/>
    <col min="7" max="7" width="16.6640625" style="31" bestFit="1" customWidth="1"/>
    <col min="8" max="8" width="14.5546875" style="31" bestFit="1" customWidth="1"/>
    <col min="9" max="16384" width="9.109375" style="31"/>
  </cols>
  <sheetData>
    <row r="1" spans="1:7" ht="16.95" customHeight="1" x14ac:dyDescent="0.3">
      <c r="A1" s="365" t="str">
        <f>+BS!A1</f>
        <v>PROGEN RENEWABLES LIMITED</v>
      </c>
      <c r="B1" s="365"/>
      <c r="C1" s="365"/>
      <c r="D1" s="365"/>
      <c r="E1" s="365"/>
    </row>
    <row r="2" spans="1:7" ht="16.95" customHeight="1" x14ac:dyDescent="0.3">
      <c r="A2" s="366" t="str">
        <f>+BS!A2</f>
        <v>87 A, First Floor, Sathy Road, Muniappan Koil Street, Ganapathy, Coimbatore,Tamil Nadu - 641 006.</v>
      </c>
      <c r="B2" s="366"/>
      <c r="C2" s="366"/>
      <c r="D2" s="366"/>
      <c r="E2" s="366"/>
    </row>
    <row r="3" spans="1:7" ht="16.95" customHeight="1" x14ac:dyDescent="0.3">
      <c r="A3" s="395" t="str">
        <f>+BS!A3</f>
        <v>CIN : U31909TZ2017PLC029803</v>
      </c>
      <c r="B3" s="395"/>
      <c r="C3" s="395"/>
      <c r="D3" s="395"/>
      <c r="E3" s="395"/>
    </row>
    <row r="4" spans="1:7" ht="16.95" customHeight="1" x14ac:dyDescent="0.3">
      <c r="A4" s="396" t="s">
        <v>32</v>
      </c>
      <c r="B4" s="396"/>
      <c r="C4" s="396"/>
      <c r="D4" s="396"/>
      <c r="E4" s="396"/>
    </row>
    <row r="5" spans="1:7" ht="16.95" customHeight="1" thickBot="1" x14ac:dyDescent="0.35">
      <c r="A5" s="397" t="s">
        <v>501</v>
      </c>
      <c r="B5" s="397"/>
      <c r="C5" s="397"/>
      <c r="D5" s="397"/>
      <c r="E5" s="397"/>
    </row>
    <row r="6" spans="1:7" ht="36" customHeight="1" x14ac:dyDescent="0.3">
      <c r="A6" s="373" t="s">
        <v>0</v>
      </c>
      <c r="B6" s="374"/>
      <c r="C6" s="375"/>
      <c r="D6" s="23" t="s">
        <v>1</v>
      </c>
      <c r="E6" s="24" t="s">
        <v>2</v>
      </c>
    </row>
    <row r="7" spans="1:7" ht="16.95" customHeight="1" x14ac:dyDescent="0.3">
      <c r="A7" s="32" t="s">
        <v>41</v>
      </c>
      <c r="B7" s="382" t="s">
        <v>38</v>
      </c>
      <c r="C7" s="383"/>
      <c r="D7" s="10"/>
      <c r="E7" s="82"/>
    </row>
    <row r="8" spans="1:7" ht="16.95" customHeight="1" x14ac:dyDescent="0.3">
      <c r="A8" s="32"/>
      <c r="B8" s="381" t="s">
        <v>405</v>
      </c>
      <c r="C8" s="377"/>
      <c r="D8" s="11">
        <f>+'P&amp;L'!D33+'P&amp;L'!D29</f>
        <v>124538032</v>
      </c>
      <c r="E8" s="12">
        <f>+'P&amp;L'!E33+'P&amp;L'!E29</f>
        <v>71647844</v>
      </c>
      <c r="G8" s="40"/>
    </row>
    <row r="9" spans="1:7" ht="16.95" customHeight="1" x14ac:dyDescent="0.3">
      <c r="A9" s="32"/>
      <c r="B9" s="376" t="s">
        <v>404</v>
      </c>
      <c r="C9" s="377"/>
      <c r="D9" s="11">
        <f>+'P&amp;L'!D27</f>
        <v>46429720</v>
      </c>
      <c r="E9" s="12">
        <f>+'P&amp;L'!E27</f>
        <v>27635821</v>
      </c>
      <c r="G9" s="40"/>
    </row>
    <row r="10" spans="1:7" ht="16.95" customHeight="1" x14ac:dyDescent="0.3">
      <c r="A10" s="32"/>
      <c r="B10" s="384" t="s">
        <v>39</v>
      </c>
      <c r="C10" s="385"/>
      <c r="D10" s="10"/>
      <c r="E10" s="82"/>
      <c r="G10" s="40"/>
    </row>
    <row r="11" spans="1:7" ht="16.95" customHeight="1" x14ac:dyDescent="0.3">
      <c r="A11" s="32"/>
      <c r="B11" s="381" t="s">
        <v>84</v>
      </c>
      <c r="C11" s="377"/>
      <c r="D11" s="11">
        <f>+'P&amp;L'!D15</f>
        <v>1813010</v>
      </c>
      <c r="E11" s="12">
        <f>+'P&amp;L'!E15</f>
        <v>1079988</v>
      </c>
    </row>
    <row r="12" spans="1:7" ht="16.95" customHeight="1" x14ac:dyDescent="0.3">
      <c r="A12" s="32"/>
      <c r="B12" s="376" t="s">
        <v>1131</v>
      </c>
      <c r="C12" s="377"/>
      <c r="D12" s="11">
        <v>1204777</v>
      </c>
      <c r="E12" s="12">
        <v>0</v>
      </c>
    </row>
    <row r="13" spans="1:7" ht="16.95" customHeight="1" x14ac:dyDescent="0.3">
      <c r="A13" s="32"/>
      <c r="B13" s="376" t="s">
        <v>1132</v>
      </c>
      <c r="C13" s="377"/>
      <c r="D13" s="11">
        <f>+'Notes - '!D9:E9</f>
        <v>-183832</v>
      </c>
      <c r="E13" s="12">
        <v>0</v>
      </c>
    </row>
    <row r="14" spans="1:7" ht="16.95" customHeight="1" x14ac:dyDescent="0.3">
      <c r="A14" s="32"/>
      <c r="B14" s="381" t="s">
        <v>85</v>
      </c>
      <c r="C14" s="377"/>
      <c r="D14" s="11">
        <f>+'P&amp;L'!D14</f>
        <v>2636496</v>
      </c>
      <c r="E14" s="12">
        <f>+'P&amp;L'!E14</f>
        <v>2042977</v>
      </c>
    </row>
    <row r="15" spans="1:7" ht="16.95" customHeight="1" x14ac:dyDescent="0.3">
      <c r="A15" s="32"/>
      <c r="B15" s="376" t="s">
        <v>58</v>
      </c>
      <c r="C15" s="377"/>
      <c r="D15" s="11">
        <f>-'Notes-P&amp;L'!C18</f>
        <v>-299009</v>
      </c>
      <c r="E15" s="12">
        <v>0</v>
      </c>
      <c r="G15" s="40" t="s">
        <v>7</v>
      </c>
    </row>
    <row r="16" spans="1:7" ht="16.95" customHeight="1" x14ac:dyDescent="0.3">
      <c r="A16" s="32"/>
      <c r="B16" s="376" t="s">
        <v>86</v>
      </c>
      <c r="C16" s="377"/>
      <c r="D16" s="50">
        <v>0</v>
      </c>
      <c r="E16" s="51">
        <v>0</v>
      </c>
      <c r="G16" s="40" t="s">
        <v>7</v>
      </c>
    </row>
    <row r="17" spans="1:8" ht="16.95" customHeight="1" x14ac:dyDescent="0.3">
      <c r="A17" s="32"/>
      <c r="B17" s="380" t="s">
        <v>87</v>
      </c>
      <c r="C17" s="379"/>
      <c r="D17" s="10">
        <f>SUM(D8:D16)</f>
        <v>176139194</v>
      </c>
      <c r="E17" s="82">
        <f>SUM(E8:E16)</f>
        <v>102406630</v>
      </c>
      <c r="G17" s="40" t="s">
        <v>7</v>
      </c>
    </row>
    <row r="18" spans="1:8" ht="16.95" customHeight="1" x14ac:dyDescent="0.3">
      <c r="A18" s="32"/>
      <c r="B18" s="384" t="s">
        <v>88</v>
      </c>
      <c r="C18" s="385"/>
      <c r="D18" s="11"/>
      <c r="E18" s="12"/>
    </row>
    <row r="19" spans="1:8" ht="16.95" customHeight="1" x14ac:dyDescent="0.3">
      <c r="A19" s="32"/>
      <c r="B19" s="381" t="s">
        <v>89</v>
      </c>
      <c r="C19" s="377"/>
      <c r="D19" s="11">
        <f>+BS!E35-BS!D35</f>
        <v>-453850831</v>
      </c>
      <c r="E19" s="12">
        <f>+BS!G35-BS!E35</f>
        <v>-169026309</v>
      </c>
    </row>
    <row r="20" spans="1:8" ht="16.95" customHeight="1" x14ac:dyDescent="0.3">
      <c r="A20" s="32"/>
      <c r="B20" s="381" t="s">
        <v>90</v>
      </c>
      <c r="C20" s="377"/>
      <c r="D20" s="11">
        <f>+BS!E34-BS!D34</f>
        <v>78688215</v>
      </c>
      <c r="E20" s="12">
        <f>+BS!G34-BS!E34</f>
        <v>140135028</v>
      </c>
    </row>
    <row r="21" spans="1:8" ht="16.95" customHeight="1" x14ac:dyDescent="0.3">
      <c r="A21" s="32"/>
      <c r="B21" s="376" t="s">
        <v>385</v>
      </c>
      <c r="C21" s="377"/>
      <c r="D21" s="11">
        <f>+BS!E37-BS!D37</f>
        <v>-69566948</v>
      </c>
      <c r="E21" s="12">
        <f>+BS!G37-BS!E37</f>
        <v>7221232</v>
      </c>
    </row>
    <row r="22" spans="1:8" ht="16.95" customHeight="1" x14ac:dyDescent="0.3">
      <c r="A22" s="32"/>
      <c r="B22" s="381" t="s">
        <v>91</v>
      </c>
      <c r="C22" s="377"/>
      <c r="D22" s="11">
        <f>+BS!E38-BS!D38</f>
        <v>-10665746</v>
      </c>
      <c r="E22" s="12">
        <f>+BS!G38-BS!E38</f>
        <v>7887664</v>
      </c>
    </row>
    <row r="23" spans="1:8" ht="16.95" customHeight="1" x14ac:dyDescent="0.3">
      <c r="A23" s="32"/>
      <c r="B23" s="381" t="s">
        <v>92</v>
      </c>
      <c r="C23" s="377"/>
      <c r="D23" s="11">
        <f>+BS!D19-BS!E19</f>
        <v>84920623</v>
      </c>
      <c r="E23" s="12">
        <f>+BS!E19-BS!G19</f>
        <v>75763442</v>
      </c>
    </row>
    <row r="24" spans="1:8" ht="16.95" customHeight="1" x14ac:dyDescent="0.3">
      <c r="A24" s="32"/>
      <c r="B24" s="381" t="s">
        <v>334</v>
      </c>
      <c r="C24" s="377"/>
      <c r="D24" s="11">
        <f>+BS!D21-BS!E21-CFS!D9-CFS!D28</f>
        <v>-1935232</v>
      </c>
      <c r="E24" s="12">
        <f>+BS!E21-BS!G21-E9-E28</f>
        <v>-2532838</v>
      </c>
      <c r="G24" s="40" t="s">
        <v>7</v>
      </c>
    </row>
    <row r="25" spans="1:8" ht="16.95" customHeight="1" x14ac:dyDescent="0.3">
      <c r="A25" s="32"/>
      <c r="B25" s="381" t="s">
        <v>335</v>
      </c>
      <c r="C25" s="377"/>
      <c r="D25" s="50">
        <f>+BS!D20-BS!E20</f>
        <v>61093313</v>
      </c>
      <c r="E25" s="51">
        <f>+BS!E20-BS!G20</f>
        <v>-178214202</v>
      </c>
    </row>
    <row r="26" spans="1:8" ht="16.95" customHeight="1" x14ac:dyDescent="0.3">
      <c r="A26" s="32"/>
      <c r="B26" s="380" t="s">
        <v>111</v>
      </c>
      <c r="C26" s="379"/>
      <c r="D26" s="10">
        <f>SUM(D17:D25)</f>
        <v>-135177412</v>
      </c>
      <c r="E26" s="82">
        <f>SUM(E17:E25)</f>
        <v>-16359353</v>
      </c>
      <c r="H26" s="40" t="s">
        <v>7</v>
      </c>
    </row>
    <row r="27" spans="1:8" ht="16.95" customHeight="1" x14ac:dyDescent="0.3">
      <c r="A27" s="32"/>
      <c r="B27" s="381" t="s">
        <v>112</v>
      </c>
      <c r="C27" s="377"/>
      <c r="D27" s="11">
        <v>0</v>
      </c>
      <c r="E27" s="12">
        <v>0</v>
      </c>
    </row>
    <row r="28" spans="1:8" ht="16.95" customHeight="1" x14ac:dyDescent="0.3">
      <c r="A28" s="32"/>
      <c r="B28" s="376" t="s">
        <v>113</v>
      </c>
      <c r="C28" s="377"/>
      <c r="D28" s="11">
        <f>-E9</f>
        <v>-27635821</v>
      </c>
      <c r="E28" s="12">
        <v>0</v>
      </c>
      <c r="G28" s="40" t="s">
        <v>7</v>
      </c>
    </row>
    <row r="29" spans="1:8" ht="16.95" customHeight="1" thickBot="1" x14ac:dyDescent="0.35">
      <c r="A29" s="32"/>
      <c r="B29" s="380" t="s">
        <v>114</v>
      </c>
      <c r="C29" s="379"/>
      <c r="D29" s="13">
        <f>SUM(D26:D28)</f>
        <v>-162813233</v>
      </c>
      <c r="E29" s="14">
        <f>SUM(E26:E28)</f>
        <v>-16359353</v>
      </c>
      <c r="G29" s="40" t="s">
        <v>7</v>
      </c>
    </row>
    <row r="30" spans="1:8" ht="16.95" customHeight="1" thickTop="1" x14ac:dyDescent="0.3">
      <c r="A30" s="32"/>
      <c r="B30" s="380"/>
      <c r="C30" s="379"/>
      <c r="D30" s="10"/>
      <c r="E30" s="82"/>
      <c r="G30" s="40" t="s">
        <v>7</v>
      </c>
    </row>
    <row r="31" spans="1:8" ht="16.95" customHeight="1" x14ac:dyDescent="0.3">
      <c r="A31" s="32" t="s">
        <v>42</v>
      </c>
      <c r="B31" s="384" t="s">
        <v>40</v>
      </c>
      <c r="C31" s="385"/>
      <c r="D31" s="10"/>
      <c r="E31" s="82"/>
    </row>
    <row r="32" spans="1:8" ht="16.95" customHeight="1" x14ac:dyDescent="0.3">
      <c r="A32" s="32"/>
      <c r="B32" s="381" t="s">
        <v>115</v>
      </c>
      <c r="C32" s="377"/>
      <c r="D32" s="11">
        <f>+BS!E26+BS!E27-BS!D26-BS!D27-D11</f>
        <v>-8976633</v>
      </c>
      <c r="E32" s="12">
        <f>+BS!G26+BS!G27-BS!E26-BS!E27-E11</f>
        <v>-2560557</v>
      </c>
    </row>
    <row r="33" spans="1:5" ht="16.95" customHeight="1" x14ac:dyDescent="0.3">
      <c r="A33" s="32"/>
      <c r="B33" s="376" t="s">
        <v>422</v>
      </c>
      <c r="C33" s="377"/>
      <c r="D33" s="11">
        <f>+BS!E31-BS!D31</f>
        <v>-37000000</v>
      </c>
      <c r="E33" s="12">
        <f>+BS!G31-BS!E31</f>
        <v>-10000000</v>
      </c>
    </row>
    <row r="34" spans="1:5" ht="16.95" customHeight="1" x14ac:dyDescent="0.3">
      <c r="A34" s="32"/>
      <c r="B34" s="389" t="s">
        <v>116</v>
      </c>
      <c r="C34" s="390"/>
      <c r="D34" s="11">
        <f>-D15</f>
        <v>299009</v>
      </c>
      <c r="E34" s="12">
        <f>-E15</f>
        <v>0</v>
      </c>
    </row>
    <row r="35" spans="1:5" ht="16.95" customHeight="1" thickBot="1" x14ac:dyDescent="0.35">
      <c r="A35" s="32"/>
      <c r="B35" s="380" t="s">
        <v>117</v>
      </c>
      <c r="C35" s="379"/>
      <c r="D35" s="13">
        <f>SUM(D32:D34)</f>
        <v>-45677624</v>
      </c>
      <c r="E35" s="19">
        <f>SUM(E32:E34)</f>
        <v>-12560557</v>
      </c>
    </row>
    <row r="36" spans="1:5" ht="16.95" customHeight="1" thickTop="1" x14ac:dyDescent="0.3">
      <c r="A36" s="32"/>
      <c r="B36" s="381"/>
      <c r="C36" s="377"/>
      <c r="D36" s="11"/>
      <c r="E36" s="12"/>
    </row>
    <row r="37" spans="1:5" ht="16.95" customHeight="1" x14ac:dyDescent="0.3">
      <c r="A37" s="32" t="s">
        <v>43</v>
      </c>
      <c r="B37" s="384" t="s">
        <v>44</v>
      </c>
      <c r="C37" s="385"/>
      <c r="D37" s="10"/>
      <c r="E37" s="82"/>
    </row>
    <row r="38" spans="1:5" ht="16.95" customHeight="1" x14ac:dyDescent="0.3">
      <c r="A38" s="32"/>
      <c r="B38" s="381" t="s">
        <v>118</v>
      </c>
      <c r="C38" s="377"/>
      <c r="D38" s="11">
        <f>-D14</f>
        <v>-2636496</v>
      </c>
      <c r="E38" s="12">
        <f>-E14</f>
        <v>-2042977</v>
      </c>
    </row>
    <row r="39" spans="1:5" ht="16.95" customHeight="1" x14ac:dyDescent="0.3">
      <c r="A39" s="32"/>
      <c r="B39" s="376" t="s">
        <v>842</v>
      </c>
      <c r="C39" s="377"/>
      <c r="D39" s="11">
        <f>+BS!D9-BS!E9+'Notes - '!D14:E14</f>
        <v>206515622</v>
      </c>
      <c r="E39" s="12">
        <f>+BS!E9-BS!G9+12533396</f>
        <v>13200066</v>
      </c>
    </row>
    <row r="40" spans="1:5" ht="16.95" customHeight="1" x14ac:dyDescent="0.3">
      <c r="A40" s="32"/>
      <c r="B40" s="376" t="s">
        <v>403</v>
      </c>
      <c r="C40" s="377"/>
      <c r="D40" s="11">
        <v>0</v>
      </c>
      <c r="E40" s="12">
        <v>0</v>
      </c>
    </row>
    <row r="41" spans="1:5" ht="16.95" customHeight="1" x14ac:dyDescent="0.3">
      <c r="A41" s="32"/>
      <c r="B41" s="376" t="s">
        <v>421</v>
      </c>
      <c r="C41" s="377"/>
      <c r="D41" s="11">
        <f>+BS!D13-BS!E13</f>
        <v>157155</v>
      </c>
      <c r="E41" s="12">
        <f>+BS!E13-BS!G13</f>
        <v>-984601</v>
      </c>
    </row>
    <row r="42" spans="1:5" ht="16.95" customHeight="1" x14ac:dyDescent="0.3">
      <c r="A42" s="32"/>
      <c r="B42" s="376" t="s">
        <v>386</v>
      </c>
      <c r="C42" s="377"/>
      <c r="D42" s="11">
        <f>+BS!D18-BS!E18</f>
        <v>21812328</v>
      </c>
      <c r="E42" s="12">
        <f>+BS!E18-BS!G18</f>
        <v>28423168</v>
      </c>
    </row>
    <row r="43" spans="1:5" ht="16.95" customHeight="1" x14ac:dyDescent="0.3">
      <c r="A43" s="32"/>
      <c r="B43" s="376" t="s">
        <v>387</v>
      </c>
      <c r="C43" s="377"/>
      <c r="D43" s="11">
        <f>+BS!E30-BS!D30</f>
        <v>631000</v>
      </c>
      <c r="E43" s="12">
        <f>+BS!G30-BS!E30</f>
        <v>0</v>
      </c>
    </row>
    <row r="44" spans="1:5" ht="16.95" customHeight="1" thickBot="1" x14ac:dyDescent="0.35">
      <c r="A44" s="32"/>
      <c r="B44" s="380" t="s">
        <v>119</v>
      </c>
      <c r="C44" s="379"/>
      <c r="D44" s="13">
        <f>SUM(D38:D43)</f>
        <v>226479609</v>
      </c>
      <c r="E44" s="19">
        <f>SUM(E38:E43)</f>
        <v>38595656</v>
      </c>
    </row>
    <row r="45" spans="1:5" ht="16.95" customHeight="1" thickTop="1" x14ac:dyDescent="0.3">
      <c r="A45" s="32"/>
      <c r="B45" s="381"/>
      <c r="C45" s="377"/>
      <c r="D45" s="11"/>
      <c r="E45" s="12"/>
    </row>
    <row r="46" spans="1:5" ht="16.95" customHeight="1" x14ac:dyDescent="0.3">
      <c r="A46" s="32" t="s">
        <v>47</v>
      </c>
      <c r="B46" s="378" t="s">
        <v>68</v>
      </c>
      <c r="C46" s="379"/>
      <c r="D46" s="10">
        <f>+D29+D35+D44</f>
        <v>17988752</v>
      </c>
      <c r="E46" s="82">
        <f>+E29+E35+E44</f>
        <v>9675746</v>
      </c>
    </row>
    <row r="47" spans="1:5" ht="16.95" customHeight="1" x14ac:dyDescent="0.3">
      <c r="A47" s="32"/>
      <c r="B47" s="378" t="s">
        <v>69</v>
      </c>
      <c r="C47" s="379"/>
      <c r="D47" s="10"/>
      <c r="E47" s="82"/>
    </row>
    <row r="48" spans="1:5" ht="16.95" customHeight="1" x14ac:dyDescent="0.3">
      <c r="A48" s="32" t="s">
        <v>48</v>
      </c>
      <c r="B48" s="381" t="s">
        <v>120</v>
      </c>
      <c r="C48" s="377"/>
      <c r="D48" s="11">
        <f>+E49</f>
        <v>9682573</v>
      </c>
      <c r="E48" s="12">
        <f>+BS!G36</f>
        <v>6827</v>
      </c>
    </row>
    <row r="49" spans="1:7" ht="16.95" customHeight="1" x14ac:dyDescent="0.3">
      <c r="A49" s="32" t="s">
        <v>49</v>
      </c>
      <c r="B49" s="380" t="s">
        <v>121</v>
      </c>
      <c r="C49" s="379"/>
      <c r="D49" s="10">
        <f>SUM(D46:D48)</f>
        <v>27671325</v>
      </c>
      <c r="E49" s="82">
        <f>SUM(E46:E48)</f>
        <v>9682573</v>
      </c>
    </row>
    <row r="50" spans="1:7" ht="16.95" customHeight="1" x14ac:dyDescent="0.3">
      <c r="A50" s="32"/>
      <c r="B50" s="381"/>
      <c r="C50" s="377"/>
      <c r="D50" s="11" t="s">
        <v>7</v>
      </c>
      <c r="E50" s="12" t="s">
        <v>7</v>
      </c>
    </row>
    <row r="51" spans="1:7" ht="16.95" customHeight="1" x14ac:dyDescent="0.3">
      <c r="A51" s="32" t="s">
        <v>50</v>
      </c>
      <c r="B51" s="384" t="s">
        <v>45</v>
      </c>
      <c r="C51" s="385"/>
      <c r="D51" s="11"/>
      <c r="E51" s="12" t="s">
        <v>7</v>
      </c>
    </row>
    <row r="52" spans="1:7" ht="16.95" customHeight="1" x14ac:dyDescent="0.3">
      <c r="A52" s="32"/>
      <c r="B52" s="381" t="s">
        <v>122</v>
      </c>
      <c r="C52" s="377"/>
      <c r="D52" s="11">
        <f>+'Notes -'!F72</f>
        <v>0</v>
      </c>
      <c r="E52" s="12">
        <f>+'Notes -'!H72</f>
        <v>1676</v>
      </c>
    </row>
    <row r="53" spans="1:7" ht="16.95" customHeight="1" x14ac:dyDescent="0.3">
      <c r="A53" s="32"/>
      <c r="B53" s="380" t="s">
        <v>123</v>
      </c>
      <c r="C53" s="379"/>
      <c r="D53" s="11" t="s">
        <v>7</v>
      </c>
      <c r="E53" s="12" t="s">
        <v>7</v>
      </c>
    </row>
    <row r="54" spans="1:7" ht="16.95" customHeight="1" x14ac:dyDescent="0.3">
      <c r="A54" s="32"/>
      <c r="B54" s="376" t="s">
        <v>46</v>
      </c>
      <c r="C54" s="377"/>
      <c r="D54" s="11">
        <f>+'Notes -'!F71</f>
        <v>20121325</v>
      </c>
      <c r="E54" s="12">
        <f>+'Notes -'!H71</f>
        <v>9165901</v>
      </c>
    </row>
    <row r="55" spans="1:7" ht="16.95" customHeight="1" x14ac:dyDescent="0.3">
      <c r="A55" s="32"/>
      <c r="B55" s="393" t="s">
        <v>1143</v>
      </c>
      <c r="C55" s="394"/>
      <c r="D55" s="11">
        <v>7550000</v>
      </c>
      <c r="E55" s="12">
        <v>514996</v>
      </c>
    </row>
    <row r="56" spans="1:7" ht="16.95" customHeight="1" thickBot="1" x14ac:dyDescent="0.35">
      <c r="A56" s="72"/>
      <c r="B56" s="391" t="s">
        <v>124</v>
      </c>
      <c r="C56" s="392"/>
      <c r="D56" s="20">
        <f>SUM(D52:D55)</f>
        <v>27671325</v>
      </c>
      <c r="E56" s="21">
        <f>SUM(E52:E55)</f>
        <v>9682573</v>
      </c>
      <c r="F56" s="40">
        <f>+D49-D56</f>
        <v>0</v>
      </c>
      <c r="G56" s="40">
        <f>+E49-E56</f>
        <v>0</v>
      </c>
    </row>
    <row r="57" spans="1:7" ht="16.95" customHeight="1" x14ac:dyDescent="0.3">
      <c r="A57" s="364" t="s">
        <v>7</v>
      </c>
      <c r="B57" s="364"/>
      <c r="C57" s="364"/>
      <c r="D57" s="364"/>
      <c r="E57" s="364"/>
      <c r="F57" s="31" t="s">
        <v>7</v>
      </c>
    </row>
    <row r="58" spans="1:7" ht="34.950000000000003" customHeight="1" x14ac:dyDescent="0.3">
      <c r="A58" s="388" t="s">
        <v>878</v>
      </c>
      <c r="B58" s="388"/>
      <c r="C58" s="388"/>
      <c r="D58" s="388"/>
      <c r="E58" s="388"/>
    </row>
    <row r="59" spans="1:7" ht="16.95" customHeight="1" x14ac:dyDescent="0.3">
      <c r="A59" s="362" t="str">
        <f>+BS!A43</f>
        <v>As Per our Report of even date Attached</v>
      </c>
      <c r="B59" s="362"/>
      <c r="C59" s="362"/>
      <c r="D59" s="362"/>
      <c r="E59" s="362"/>
      <c r="F59" s="31" t="s">
        <v>7</v>
      </c>
    </row>
    <row r="60" spans="1:7" ht="16.95" customHeight="1" x14ac:dyDescent="0.3">
      <c r="A60" s="158"/>
      <c r="B60" s="158"/>
      <c r="C60" s="158"/>
      <c r="D60" s="158"/>
      <c r="E60" s="158"/>
    </row>
    <row r="61" spans="1:7" ht="16.95" customHeight="1" x14ac:dyDescent="0.3">
      <c r="A61" s="158"/>
      <c r="B61" s="158"/>
      <c r="C61" s="158"/>
      <c r="D61" s="158"/>
      <c r="E61" s="158"/>
    </row>
    <row r="62" spans="1:7" ht="16.95" customHeight="1" x14ac:dyDescent="0.3">
      <c r="A62" s="162"/>
      <c r="B62" s="162"/>
      <c r="C62" s="162"/>
      <c r="D62" s="162"/>
      <c r="E62" s="162"/>
    </row>
    <row r="63" spans="1:7" ht="16.95" customHeight="1" x14ac:dyDescent="0.3">
      <c r="A63" s="362" t="s">
        <v>14</v>
      </c>
      <c r="B63" s="362"/>
      <c r="C63" s="387" t="s">
        <v>20</v>
      </c>
      <c r="D63" s="387"/>
      <c r="E63" s="387"/>
    </row>
    <row r="64" spans="1:7" ht="16.95" customHeight="1" x14ac:dyDescent="0.3">
      <c r="A64" s="362" t="s">
        <v>15</v>
      </c>
      <c r="B64" s="362"/>
      <c r="C64" s="386" t="str">
        <f>+BS!A1</f>
        <v>PROGEN RENEWABLES LIMITED</v>
      </c>
      <c r="D64" s="386"/>
      <c r="E64" s="386"/>
    </row>
    <row r="65" spans="1:5" ht="16.95" customHeight="1" x14ac:dyDescent="0.3">
      <c r="A65" s="362" t="s">
        <v>54</v>
      </c>
      <c r="B65" s="362"/>
      <c r="C65" s="164"/>
      <c r="D65" s="160"/>
      <c r="E65" s="160"/>
    </row>
    <row r="66" spans="1:5" ht="16.95" customHeight="1" x14ac:dyDescent="0.3">
      <c r="A66" s="163"/>
      <c r="B66" s="164"/>
      <c r="C66" s="164"/>
      <c r="D66" s="160"/>
      <c r="E66" s="160"/>
    </row>
    <row r="67" spans="1:5" ht="16.95" customHeight="1" x14ac:dyDescent="0.3">
      <c r="A67" s="163"/>
      <c r="B67" s="164"/>
      <c r="C67" s="164"/>
      <c r="D67" s="160"/>
      <c r="E67" s="160"/>
    </row>
    <row r="68" spans="1:5" ht="16.95" customHeight="1" x14ac:dyDescent="0.3">
      <c r="A68" s="163"/>
      <c r="B68" s="164"/>
      <c r="C68" s="164"/>
      <c r="D68" s="160"/>
      <c r="E68" s="160"/>
    </row>
    <row r="69" spans="1:5" ht="16.95" customHeight="1" x14ac:dyDescent="0.3">
      <c r="A69" s="362" t="s">
        <v>55</v>
      </c>
      <c r="B69" s="362"/>
      <c r="C69" s="169" t="str">
        <f>+BS!C51</f>
        <v>Alfred Vinod Antony</v>
      </c>
      <c r="E69" s="162" t="str">
        <f>+BS!E51</f>
        <v>Veena Jose</v>
      </c>
    </row>
    <row r="70" spans="1:5" ht="16.95" customHeight="1" x14ac:dyDescent="0.3">
      <c r="A70" s="362" t="s">
        <v>16</v>
      </c>
      <c r="B70" s="362"/>
      <c r="C70" s="169" t="str">
        <f>+BS!C52</f>
        <v>Managing Director</v>
      </c>
      <c r="E70" s="162" t="str">
        <f>+BS!E52</f>
        <v>Director &amp; CFO</v>
      </c>
    </row>
    <row r="71" spans="1:5" ht="16.95" customHeight="1" x14ac:dyDescent="0.3">
      <c r="A71" s="362" t="s">
        <v>56</v>
      </c>
      <c r="B71" s="362"/>
      <c r="C71" s="169" t="str">
        <f>+BS!C53</f>
        <v>DIN No: 02776734</v>
      </c>
      <c r="E71" s="162" t="str">
        <f>+BS!E53</f>
        <v>DIN No: 08017313</v>
      </c>
    </row>
    <row r="72" spans="1:5" ht="16.95" customHeight="1" x14ac:dyDescent="0.3">
      <c r="A72" s="159" t="str">
        <f>+BS!A54</f>
        <v>UDIN:</v>
      </c>
      <c r="B72" s="159"/>
      <c r="C72" s="159"/>
      <c r="D72" s="158"/>
      <c r="E72" s="158"/>
    </row>
    <row r="73" spans="1:5" ht="16.95" customHeight="1" x14ac:dyDescent="0.3">
      <c r="A73" s="163"/>
      <c r="B73" s="163"/>
      <c r="C73" s="163"/>
      <c r="D73" s="163"/>
      <c r="E73" s="163"/>
    </row>
    <row r="74" spans="1:5" ht="16.95" customHeight="1" x14ac:dyDescent="0.3">
      <c r="A74" s="159" t="s">
        <v>7</v>
      </c>
      <c r="B74" s="159"/>
      <c r="C74" s="159"/>
      <c r="D74" s="158"/>
      <c r="E74" s="158"/>
    </row>
    <row r="75" spans="1:5" ht="16.95" customHeight="1" x14ac:dyDescent="0.3">
      <c r="A75" s="159" t="s">
        <v>7</v>
      </c>
      <c r="B75" s="159"/>
      <c r="C75" s="159"/>
      <c r="D75" s="158"/>
      <c r="E75" s="158"/>
    </row>
    <row r="76" spans="1:5" ht="16.95" customHeight="1" x14ac:dyDescent="0.3">
      <c r="A76" s="157"/>
      <c r="B76" s="157"/>
      <c r="C76" s="158" t="str">
        <f>+BS!C58</f>
        <v>Arvind Jain</v>
      </c>
      <c r="E76" s="158" t="str">
        <f>+BS!E58</f>
        <v>Migael Anitha Christina</v>
      </c>
    </row>
    <row r="77" spans="1:5" ht="16.95" customHeight="1" x14ac:dyDescent="0.3">
      <c r="A77" s="159" t="str">
        <f>+BS!A58</f>
        <v>PLACE: COIMBATORE</v>
      </c>
      <c r="B77" s="159"/>
      <c r="C77" s="158" t="str">
        <f>+BS!C59</f>
        <v>Whole-time Director</v>
      </c>
      <c r="E77" s="158" t="str">
        <f>+BS!E59</f>
        <v>Company Secretary</v>
      </c>
    </row>
    <row r="78" spans="1:5" ht="16.95" customHeight="1" x14ac:dyDescent="0.3">
      <c r="A78" s="159" t="str">
        <f>+BS!A59</f>
        <v xml:space="preserve">DATE: </v>
      </c>
      <c r="B78" s="159"/>
      <c r="C78" s="158" t="str">
        <f>+BS!C60</f>
        <v>DIN No: 07218435</v>
      </c>
      <c r="E78" s="158" t="str">
        <f>+BS!E60</f>
        <v>M.No. 30946</v>
      </c>
    </row>
    <row r="79" spans="1:5" ht="16.95" customHeight="1" x14ac:dyDescent="0.3">
      <c r="A79" s="157"/>
      <c r="B79" s="157"/>
      <c r="C79" s="157"/>
      <c r="D79" s="157"/>
      <c r="E79" s="157"/>
    </row>
    <row r="80" spans="1:5" ht="16.95" customHeight="1" x14ac:dyDescent="0.3">
      <c r="A80" s="157"/>
      <c r="B80" s="157"/>
      <c r="C80" s="157"/>
      <c r="D80" s="157"/>
      <c r="E80" s="157"/>
    </row>
    <row r="81" spans="1:5" ht="16.95" customHeight="1" x14ac:dyDescent="0.3">
      <c r="A81" s="157"/>
      <c r="B81" s="157"/>
      <c r="C81" s="157"/>
      <c r="D81" s="157"/>
      <c r="E81" s="157"/>
    </row>
    <row r="82" spans="1:5" ht="16.95" customHeight="1" x14ac:dyDescent="0.3">
      <c r="A82" s="157"/>
      <c r="B82" s="157"/>
      <c r="C82" s="157"/>
      <c r="D82" s="157"/>
      <c r="E82" s="157"/>
    </row>
    <row r="83" spans="1:5" ht="16.95" customHeight="1" x14ac:dyDescent="0.3">
      <c r="A83" s="157"/>
      <c r="B83" s="157"/>
      <c r="C83" s="157"/>
      <c r="D83" s="157"/>
      <c r="E83" s="157"/>
    </row>
    <row r="84" spans="1:5" ht="16.95" customHeight="1" x14ac:dyDescent="0.3">
      <c r="A84" s="157"/>
      <c r="B84" s="157"/>
      <c r="C84" s="157"/>
      <c r="D84" s="157"/>
      <c r="E84" s="157"/>
    </row>
  </sheetData>
  <sheetProtection sheet="1" objects="1" scenarios="1"/>
  <mergeCells count="67">
    <mergeCell ref="A1:E1"/>
    <mergeCell ref="A2:E2"/>
    <mergeCell ref="A57:E57"/>
    <mergeCell ref="A3:E3"/>
    <mergeCell ref="A4:E4"/>
    <mergeCell ref="B9:C9"/>
    <mergeCell ref="B15:C15"/>
    <mergeCell ref="B16:C16"/>
    <mergeCell ref="B26:C26"/>
    <mergeCell ref="B27:C27"/>
    <mergeCell ref="B29:C29"/>
    <mergeCell ref="B30:C30"/>
    <mergeCell ref="B31:C31"/>
    <mergeCell ref="A5:E5"/>
    <mergeCell ref="B20:C20"/>
    <mergeCell ref="B22:C22"/>
    <mergeCell ref="B23:C23"/>
    <mergeCell ref="B24:C24"/>
    <mergeCell ref="A58:E58"/>
    <mergeCell ref="B39:C39"/>
    <mergeCell ref="B21:C21"/>
    <mergeCell ref="B52:C52"/>
    <mergeCell ref="B34:C34"/>
    <mergeCell ref="B56:C56"/>
    <mergeCell ref="B55:C55"/>
    <mergeCell ref="B25:C25"/>
    <mergeCell ref="B53:C53"/>
    <mergeCell ref="B50:C50"/>
    <mergeCell ref="B51:C51"/>
    <mergeCell ref="B32:C32"/>
    <mergeCell ref="B35:C35"/>
    <mergeCell ref="B40:C40"/>
    <mergeCell ref="B38:C38"/>
    <mergeCell ref="B41:C41"/>
    <mergeCell ref="B37:C37"/>
    <mergeCell ref="A71:B71"/>
    <mergeCell ref="C64:E64"/>
    <mergeCell ref="A59:E59"/>
    <mergeCell ref="A69:B69"/>
    <mergeCell ref="A63:B63"/>
    <mergeCell ref="A64:B64"/>
    <mergeCell ref="A65:B65"/>
    <mergeCell ref="C63:E63"/>
    <mergeCell ref="A70:B70"/>
    <mergeCell ref="B11:C11"/>
    <mergeCell ref="B14:C14"/>
    <mergeCell ref="B17:C17"/>
    <mergeCell ref="B18:C18"/>
    <mergeCell ref="B19:C19"/>
    <mergeCell ref="B12:C12"/>
    <mergeCell ref="B13:C13"/>
    <mergeCell ref="A6:C6"/>
    <mergeCell ref="B28:C28"/>
    <mergeCell ref="B46:C46"/>
    <mergeCell ref="B47:C47"/>
    <mergeCell ref="B54:C54"/>
    <mergeCell ref="B33:C33"/>
    <mergeCell ref="B44:C44"/>
    <mergeCell ref="B45:C45"/>
    <mergeCell ref="B49:C49"/>
    <mergeCell ref="B48:C48"/>
    <mergeCell ref="B42:C42"/>
    <mergeCell ref="B43:C43"/>
    <mergeCell ref="B36:C36"/>
    <mergeCell ref="B7:C7"/>
    <mergeCell ref="B8:C8"/>
    <mergeCell ref="B10:C10"/>
  </mergeCells>
  <pageMargins left="0.59055118110236227" right="0.59055118110236227" top="0.78740157480314965" bottom="0.98425196850393704" header="0" footer="0"/>
  <pageSetup paperSize="9" scale="85" orientation="portrait" r:id="rId1"/>
  <ignoredErrors>
    <ignoredError sqref="F56 D46:D49" evalError="1"/>
    <ignoredError sqref="D39 D13"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3"/>
  <sheetViews>
    <sheetView showGridLines="0" view="pageBreakPreview" topLeftCell="A28" zoomScaleNormal="100" zoomScaleSheetLayoutView="100" workbookViewId="0">
      <selection activeCell="C38" sqref="C38"/>
    </sheetView>
  </sheetViews>
  <sheetFormatPr defaultColWidth="9.109375" defaultRowHeight="18" customHeight="1" x14ac:dyDescent="0.3"/>
  <cols>
    <col min="1" max="1" width="5.5546875" style="31" customWidth="1"/>
    <col min="2" max="2" width="22.6640625" style="31" customWidth="1"/>
    <col min="3" max="3" width="14.33203125" style="31" bestFit="1" customWidth="1"/>
    <col min="4" max="4" width="15.5546875" style="240" customWidth="1"/>
    <col min="5" max="5" width="16.6640625" style="240" customWidth="1"/>
    <col min="6" max="7" width="15.5546875" style="240" customWidth="1"/>
    <col min="8" max="9" width="15.5546875" style="31" customWidth="1"/>
    <col min="10" max="10" width="9.109375" style="31"/>
    <col min="11" max="11" width="13.44140625" style="31" bestFit="1" customWidth="1"/>
    <col min="12" max="16384" width="9.109375" style="31"/>
  </cols>
  <sheetData>
    <row r="1" spans="1:12" ht="16.95" customHeight="1" x14ac:dyDescent="0.3">
      <c r="A1" s="365" t="str">
        <f>+BS!A1</f>
        <v>PROGEN RENEWABLES LIMITED</v>
      </c>
      <c r="B1" s="365"/>
      <c r="C1" s="365"/>
      <c r="D1" s="365"/>
      <c r="E1" s="365"/>
      <c r="F1" s="365"/>
      <c r="G1" s="365"/>
    </row>
    <row r="2" spans="1:12" ht="16.95" customHeight="1" thickBot="1" x14ac:dyDescent="0.35">
      <c r="A2" s="426" t="s">
        <v>272</v>
      </c>
      <c r="B2" s="426"/>
      <c r="C2" s="426"/>
      <c r="D2" s="426"/>
      <c r="E2" s="426"/>
      <c r="F2" s="426"/>
      <c r="G2" s="426"/>
    </row>
    <row r="3" spans="1:12" ht="16.95" customHeight="1" x14ac:dyDescent="0.3">
      <c r="A3" s="402" t="s">
        <v>7</v>
      </c>
      <c r="B3" s="402"/>
      <c r="C3" s="402"/>
      <c r="D3" s="402"/>
      <c r="E3" s="402"/>
      <c r="F3" s="402"/>
      <c r="G3" s="402"/>
    </row>
    <row r="4" spans="1:12" ht="16.95" customHeight="1" thickBot="1" x14ac:dyDescent="0.35">
      <c r="A4" s="402" t="s">
        <v>848</v>
      </c>
      <c r="B4" s="402"/>
      <c r="C4" s="402"/>
      <c r="D4" s="402"/>
      <c r="E4" s="402"/>
      <c r="F4" s="402"/>
      <c r="G4" s="402"/>
    </row>
    <row r="5" spans="1:12" ht="30" customHeight="1" x14ac:dyDescent="0.3">
      <c r="A5" s="403" t="s">
        <v>274</v>
      </c>
      <c r="B5" s="404"/>
      <c r="C5" s="405"/>
      <c r="D5" s="440" t="s">
        <v>336</v>
      </c>
      <c r="E5" s="441"/>
      <c r="F5" s="442" t="s">
        <v>25</v>
      </c>
      <c r="G5" s="443"/>
      <c r="H5" s="398" t="s">
        <v>469</v>
      </c>
      <c r="I5" s="399"/>
    </row>
    <row r="6" spans="1:12" ht="18" customHeight="1" x14ac:dyDescent="0.3">
      <c r="A6" s="406"/>
      <c r="B6" s="407"/>
      <c r="C6" s="408"/>
      <c r="D6" s="204" t="s">
        <v>406</v>
      </c>
      <c r="E6" s="205" t="s">
        <v>22</v>
      </c>
      <c r="F6" s="204" t="s">
        <v>406</v>
      </c>
      <c r="G6" s="206" t="s">
        <v>22</v>
      </c>
      <c r="H6" s="127" t="s">
        <v>406</v>
      </c>
      <c r="I6" s="127" t="s">
        <v>22</v>
      </c>
    </row>
    <row r="7" spans="1:12" ht="16.95" customHeight="1" x14ac:dyDescent="0.3">
      <c r="A7" s="412" t="s">
        <v>338</v>
      </c>
      <c r="B7" s="413"/>
      <c r="C7" s="414"/>
      <c r="D7" s="11"/>
      <c r="E7" s="191"/>
      <c r="F7" s="11"/>
      <c r="G7" s="12"/>
      <c r="H7" s="39"/>
      <c r="I7" s="39"/>
    </row>
    <row r="8" spans="1:12" ht="16.95" customHeight="1" x14ac:dyDescent="0.3">
      <c r="A8" s="409" t="s">
        <v>339</v>
      </c>
      <c r="B8" s="410"/>
      <c r="C8" s="411"/>
      <c r="D8" s="11">
        <v>17000000</v>
      </c>
      <c r="E8" s="191">
        <v>170000000</v>
      </c>
      <c r="F8" s="11">
        <v>170000</v>
      </c>
      <c r="G8" s="12">
        <v>1700000</v>
      </c>
      <c r="H8" s="39">
        <v>100000</v>
      </c>
      <c r="I8" s="39">
        <f>+H8*10</f>
        <v>1000000</v>
      </c>
      <c r="K8" s="31" t="s">
        <v>7</v>
      </c>
    </row>
    <row r="9" spans="1:12" ht="16.95" customHeight="1" x14ac:dyDescent="0.3">
      <c r="A9" s="412" t="s">
        <v>7</v>
      </c>
      <c r="B9" s="413"/>
      <c r="C9" s="414"/>
      <c r="D9" s="207">
        <f t="shared" ref="D9:I9" si="0">SUM(D7:D8)</f>
        <v>17000000</v>
      </c>
      <c r="E9" s="208">
        <f t="shared" si="0"/>
        <v>170000000</v>
      </c>
      <c r="F9" s="207">
        <f t="shared" si="0"/>
        <v>170000</v>
      </c>
      <c r="G9" s="209">
        <f t="shared" si="0"/>
        <v>1700000</v>
      </c>
      <c r="H9" s="210">
        <f t="shared" si="0"/>
        <v>100000</v>
      </c>
      <c r="I9" s="211">
        <f t="shared" si="0"/>
        <v>1000000</v>
      </c>
      <c r="K9" s="31" t="s">
        <v>7</v>
      </c>
    </row>
    <row r="10" spans="1:12" ht="16.95" customHeight="1" x14ac:dyDescent="0.3">
      <c r="A10" s="415" t="s">
        <v>340</v>
      </c>
      <c r="B10" s="416"/>
      <c r="C10" s="417"/>
      <c r="D10" s="11"/>
      <c r="E10" s="191"/>
      <c r="F10" s="11"/>
      <c r="G10" s="12"/>
      <c r="H10" s="39"/>
      <c r="I10" s="39"/>
    </row>
    <row r="11" spans="1:12" ht="16.95" customHeight="1" x14ac:dyDescent="0.3">
      <c r="A11" s="409" t="s">
        <v>341</v>
      </c>
      <c r="B11" s="410"/>
      <c r="C11" s="411"/>
      <c r="D11" s="50">
        <v>187224</v>
      </c>
      <c r="E11" s="192">
        <v>1872240</v>
      </c>
      <c r="F11" s="50">
        <v>166667</v>
      </c>
      <c r="G11" s="51">
        <v>1666670</v>
      </c>
      <c r="H11" s="39">
        <v>100000</v>
      </c>
      <c r="I11" s="39">
        <f>+H11*10</f>
        <v>1000000</v>
      </c>
      <c r="K11" s="40" t="s">
        <v>7</v>
      </c>
      <c r="L11" s="31" t="s">
        <v>7</v>
      </c>
    </row>
    <row r="12" spans="1:12" ht="16.95" customHeight="1" thickBot="1" x14ac:dyDescent="0.35">
      <c r="A12" s="418" t="s">
        <v>7</v>
      </c>
      <c r="B12" s="419"/>
      <c r="C12" s="420"/>
      <c r="D12" s="63">
        <f>SUM(D10:D11)</f>
        <v>187224</v>
      </c>
      <c r="E12" s="212">
        <f t="shared" ref="E12:I12" si="1">SUM(E10:E11)</f>
        <v>1872240</v>
      </c>
      <c r="F12" s="63">
        <f t="shared" si="1"/>
        <v>166667</v>
      </c>
      <c r="G12" s="117">
        <f t="shared" si="1"/>
        <v>1666670</v>
      </c>
      <c r="H12" s="210">
        <f t="shared" si="1"/>
        <v>100000</v>
      </c>
      <c r="I12" s="211">
        <f t="shared" si="1"/>
        <v>1000000</v>
      </c>
    </row>
    <row r="13" spans="1:12" ht="16.95" customHeight="1" x14ac:dyDescent="0.3">
      <c r="A13" s="424"/>
      <c r="B13" s="424"/>
      <c r="C13" s="424"/>
      <c r="D13" s="424"/>
      <c r="E13" s="424"/>
      <c r="F13" s="424"/>
      <c r="G13" s="424"/>
    </row>
    <row r="14" spans="1:12" ht="16.95" customHeight="1" x14ac:dyDescent="0.3">
      <c r="A14" s="402" t="s">
        <v>849</v>
      </c>
      <c r="B14" s="402"/>
      <c r="C14" s="402"/>
      <c r="D14" s="402"/>
      <c r="E14" s="402"/>
      <c r="F14" s="402"/>
      <c r="G14" s="402"/>
    </row>
    <row r="15" spans="1:12" ht="88.95" customHeight="1" x14ac:dyDescent="0.3">
      <c r="A15" s="425" t="s">
        <v>343</v>
      </c>
      <c r="B15" s="425"/>
      <c r="C15" s="425"/>
      <c r="D15" s="425"/>
      <c r="E15" s="425"/>
      <c r="F15" s="425"/>
      <c r="G15" s="425"/>
    </row>
    <row r="16" spans="1:12" ht="16.95" customHeight="1" x14ac:dyDescent="0.3">
      <c r="A16" s="422"/>
      <c r="B16" s="422"/>
      <c r="C16" s="422"/>
      <c r="D16" s="422"/>
      <c r="E16" s="422"/>
      <c r="F16" s="422"/>
      <c r="G16" s="422"/>
    </row>
    <row r="17" spans="1:11" ht="16.95" customHeight="1" thickBot="1" x14ac:dyDescent="0.35">
      <c r="A17" s="402" t="s">
        <v>850</v>
      </c>
      <c r="B17" s="402"/>
      <c r="C17" s="402"/>
      <c r="D17" s="402"/>
      <c r="E17" s="402"/>
      <c r="F17" s="402"/>
      <c r="G17" s="402"/>
    </row>
    <row r="18" spans="1:11" ht="16.95" customHeight="1" x14ac:dyDescent="0.3">
      <c r="A18" s="444" t="s">
        <v>274</v>
      </c>
      <c r="B18" s="445"/>
      <c r="C18" s="446"/>
      <c r="D18" s="430" t="s">
        <v>342</v>
      </c>
      <c r="E18" s="431"/>
      <c r="F18" s="432" t="s">
        <v>27</v>
      </c>
      <c r="G18" s="433"/>
      <c r="H18" s="400" t="s">
        <v>470</v>
      </c>
      <c r="I18" s="401"/>
    </row>
    <row r="19" spans="1:11" ht="16.95" customHeight="1" x14ac:dyDescent="0.3">
      <c r="A19" s="447" t="s">
        <v>344</v>
      </c>
      <c r="B19" s="448"/>
      <c r="C19" s="449"/>
      <c r="D19" s="214" t="s">
        <v>23</v>
      </c>
      <c r="E19" s="215" t="s">
        <v>22</v>
      </c>
      <c r="F19" s="214" t="s">
        <v>23</v>
      </c>
      <c r="G19" s="216" t="s">
        <v>22</v>
      </c>
      <c r="H19" s="127" t="s">
        <v>352</v>
      </c>
      <c r="I19" s="127" t="s">
        <v>22</v>
      </c>
    </row>
    <row r="20" spans="1:11" ht="16.95" customHeight="1" x14ac:dyDescent="0.3">
      <c r="A20" s="421" t="s">
        <v>345</v>
      </c>
      <c r="B20" s="422"/>
      <c r="C20" s="423"/>
      <c r="D20" s="11">
        <f>+F22</f>
        <v>166667</v>
      </c>
      <c r="E20" s="191">
        <f>+G22</f>
        <v>1666670</v>
      </c>
      <c r="F20" s="53">
        <v>100000</v>
      </c>
      <c r="G20" s="48">
        <v>1000000</v>
      </c>
      <c r="H20" s="39">
        <v>100000</v>
      </c>
      <c r="I20" s="39">
        <f>+H20*10</f>
        <v>1000000</v>
      </c>
    </row>
    <row r="21" spans="1:11" ht="16.95" customHeight="1" x14ac:dyDescent="0.3">
      <c r="A21" s="434" t="s">
        <v>346</v>
      </c>
      <c r="B21" s="435"/>
      <c r="C21" s="436"/>
      <c r="D21" s="50">
        <v>20557</v>
      </c>
      <c r="E21" s="192">
        <f>+D21*10</f>
        <v>205570</v>
      </c>
      <c r="F21" s="54">
        <v>66667</v>
      </c>
      <c r="G21" s="47">
        <v>666670</v>
      </c>
      <c r="H21" s="39">
        <v>0</v>
      </c>
      <c r="I21" s="39">
        <v>0</v>
      </c>
      <c r="K21" s="31" t="s">
        <v>7</v>
      </c>
    </row>
    <row r="22" spans="1:11" ht="16.95" customHeight="1" thickBot="1" x14ac:dyDescent="0.35">
      <c r="A22" s="437" t="s">
        <v>347</v>
      </c>
      <c r="B22" s="438"/>
      <c r="C22" s="439"/>
      <c r="D22" s="63">
        <f>SUM(D20:D21)</f>
        <v>187224</v>
      </c>
      <c r="E22" s="212">
        <f>SUM(E20:E21)</f>
        <v>1872240</v>
      </c>
      <c r="F22" s="63">
        <f>SUM(F20:F21)</f>
        <v>166667</v>
      </c>
      <c r="G22" s="49">
        <f t="shared" ref="G22:I22" si="2">SUM(G20:G21)</f>
        <v>1666670</v>
      </c>
      <c r="H22" s="217">
        <f t="shared" si="2"/>
        <v>100000</v>
      </c>
      <c r="I22" s="218">
        <f t="shared" si="2"/>
        <v>1000000</v>
      </c>
    </row>
    <row r="23" spans="1:11" ht="16.95" customHeight="1" x14ac:dyDescent="0.3">
      <c r="A23" s="424"/>
      <c r="B23" s="424"/>
      <c r="C23" s="424"/>
      <c r="D23" s="424"/>
      <c r="E23" s="424"/>
      <c r="F23" s="424"/>
      <c r="G23" s="424"/>
    </row>
    <row r="24" spans="1:11" ht="16.95" customHeight="1" thickBot="1" x14ac:dyDescent="0.35">
      <c r="A24" s="402" t="s">
        <v>851</v>
      </c>
      <c r="B24" s="402"/>
      <c r="C24" s="402"/>
      <c r="D24" s="402"/>
      <c r="E24" s="402"/>
      <c r="F24" s="402"/>
      <c r="G24" s="402"/>
    </row>
    <row r="25" spans="1:11" ht="16.95" customHeight="1" x14ac:dyDescent="0.3">
      <c r="A25" s="444" t="s">
        <v>274</v>
      </c>
      <c r="B25" s="445"/>
      <c r="C25" s="446"/>
      <c r="D25" s="430" t="s">
        <v>342</v>
      </c>
      <c r="E25" s="431"/>
      <c r="F25" s="432" t="s">
        <v>26</v>
      </c>
      <c r="G25" s="433"/>
      <c r="H25" s="400" t="s">
        <v>469</v>
      </c>
      <c r="I25" s="401"/>
    </row>
    <row r="26" spans="1:11" ht="16.95" customHeight="1" x14ac:dyDescent="0.3">
      <c r="A26" s="447" t="s">
        <v>344</v>
      </c>
      <c r="B26" s="448"/>
      <c r="C26" s="449"/>
      <c r="D26" s="132" t="s">
        <v>337</v>
      </c>
      <c r="E26" s="132" t="s">
        <v>407</v>
      </c>
      <c r="F26" s="132" t="s">
        <v>337</v>
      </c>
      <c r="G26" s="135" t="s">
        <v>407</v>
      </c>
      <c r="H26" s="127" t="s">
        <v>337</v>
      </c>
      <c r="I26" s="127" t="s">
        <v>407</v>
      </c>
    </row>
    <row r="27" spans="1:11" ht="16.95" customHeight="1" x14ac:dyDescent="0.3">
      <c r="A27" s="427" t="s">
        <v>441</v>
      </c>
      <c r="B27" s="428"/>
      <c r="C27" s="429"/>
      <c r="D27" s="53">
        <v>50000</v>
      </c>
      <c r="E27" s="219">
        <f>+D27/D22</f>
        <v>0.26705977866085545</v>
      </c>
      <c r="F27" s="53">
        <v>50000</v>
      </c>
      <c r="G27" s="70">
        <f>+F27/F22</f>
        <v>0.29999940000120001</v>
      </c>
      <c r="H27" s="39">
        <v>50000</v>
      </c>
      <c r="I27" s="220">
        <f>+H27/H22</f>
        <v>0.5</v>
      </c>
    </row>
    <row r="28" spans="1:11" ht="16.95" customHeight="1" x14ac:dyDescent="0.3">
      <c r="A28" s="427" t="s">
        <v>442</v>
      </c>
      <c r="B28" s="428"/>
      <c r="C28" s="429"/>
      <c r="D28" s="53">
        <v>50000</v>
      </c>
      <c r="E28" s="219">
        <f>+D28/D22</f>
        <v>0.26705977866085545</v>
      </c>
      <c r="F28" s="53">
        <v>50000</v>
      </c>
      <c r="G28" s="70">
        <f>+F28/F22</f>
        <v>0.29999940000120001</v>
      </c>
      <c r="H28" s="39">
        <v>50000</v>
      </c>
      <c r="I28" s="220">
        <f>+H28/H22</f>
        <v>0.5</v>
      </c>
    </row>
    <row r="29" spans="1:11" ht="16.95" customHeight="1" thickBot="1" x14ac:dyDescent="0.35">
      <c r="A29" s="427" t="s">
        <v>443</v>
      </c>
      <c r="B29" s="428"/>
      <c r="C29" s="429"/>
      <c r="D29" s="53">
        <v>44198</v>
      </c>
      <c r="E29" s="219">
        <f>+D29/D22</f>
        <v>0.23607016194504979</v>
      </c>
      <c r="F29" s="53">
        <v>66667</v>
      </c>
      <c r="G29" s="70">
        <f>+F29/F22</f>
        <v>0.40000119999760003</v>
      </c>
      <c r="H29" s="39">
        <v>0</v>
      </c>
      <c r="I29" s="220">
        <v>0</v>
      </c>
    </row>
    <row r="30" spans="1:11" ht="16.95" customHeight="1" x14ac:dyDescent="0.3">
      <c r="A30" s="450" t="s">
        <v>7</v>
      </c>
      <c r="B30" s="450"/>
      <c r="C30" s="450"/>
      <c r="D30" s="450"/>
      <c r="E30" s="450"/>
      <c r="F30" s="450"/>
      <c r="G30" s="450"/>
    </row>
    <row r="31" spans="1:11" ht="16.95" customHeight="1" x14ac:dyDescent="0.3">
      <c r="A31" s="402" t="s">
        <v>852</v>
      </c>
      <c r="B31" s="402"/>
      <c r="C31" s="402"/>
      <c r="D31" s="402"/>
      <c r="E31" s="402"/>
      <c r="F31" s="402"/>
      <c r="G31" s="402"/>
    </row>
    <row r="32" spans="1:11" ht="16.95" customHeight="1" thickBot="1" x14ac:dyDescent="0.35">
      <c r="A32" s="402" t="s">
        <v>348</v>
      </c>
      <c r="B32" s="402"/>
      <c r="C32" s="402"/>
      <c r="D32" s="402"/>
      <c r="E32" s="402"/>
      <c r="F32" s="402"/>
      <c r="G32" s="402"/>
    </row>
    <row r="33" spans="1:12" ht="18" customHeight="1" x14ac:dyDescent="0.3">
      <c r="A33" s="451" t="s">
        <v>60</v>
      </c>
      <c r="B33" s="453" t="s">
        <v>349</v>
      </c>
      <c r="C33" s="455" t="s">
        <v>350</v>
      </c>
      <c r="D33" s="455"/>
      <c r="E33" s="456" t="s">
        <v>351</v>
      </c>
      <c r="F33" s="456"/>
      <c r="G33" s="457" t="s">
        <v>24</v>
      </c>
      <c r="H33" s="400" t="s">
        <v>471</v>
      </c>
      <c r="I33" s="401"/>
    </row>
    <row r="34" spans="1:12" ht="30" customHeight="1" x14ac:dyDescent="0.3">
      <c r="A34" s="452"/>
      <c r="B34" s="454"/>
      <c r="C34" s="195" t="s">
        <v>352</v>
      </c>
      <c r="D34" s="221" t="s">
        <v>473</v>
      </c>
      <c r="E34" s="222" t="s">
        <v>352</v>
      </c>
      <c r="F34" s="221" t="s">
        <v>473</v>
      </c>
      <c r="G34" s="458"/>
      <c r="H34" s="122" t="s">
        <v>352</v>
      </c>
      <c r="I34" s="122" t="s">
        <v>472</v>
      </c>
    </row>
    <row r="35" spans="1:12" ht="16.95" customHeight="1" x14ac:dyDescent="0.3">
      <c r="A35" s="32">
        <v>1</v>
      </c>
      <c r="B35" s="97" t="s">
        <v>441</v>
      </c>
      <c r="C35" s="71">
        <v>50000</v>
      </c>
      <c r="D35" s="223">
        <f>+C35/D22</f>
        <v>0.26705977866085545</v>
      </c>
      <c r="E35" s="71">
        <v>50000</v>
      </c>
      <c r="F35" s="223">
        <f>+E35/F22</f>
        <v>0.29999940000120001</v>
      </c>
      <c r="G35" s="224">
        <f>+D35-F35</f>
        <v>-3.293962134034456E-2</v>
      </c>
      <c r="H35" s="39">
        <v>50000</v>
      </c>
      <c r="I35" s="220">
        <f>+H35/H22</f>
        <v>0.5</v>
      </c>
      <c r="K35" s="31" t="s">
        <v>7</v>
      </c>
      <c r="L35" s="315" t="s">
        <v>7</v>
      </c>
    </row>
    <row r="36" spans="1:12" ht="16.95" customHeight="1" x14ac:dyDescent="0.3">
      <c r="A36" s="32">
        <v>2</v>
      </c>
      <c r="B36" s="97" t="s">
        <v>442</v>
      </c>
      <c r="C36" s="11">
        <v>50000</v>
      </c>
      <c r="D36" s="223">
        <f>+C36/D22</f>
        <v>0.26705977866085545</v>
      </c>
      <c r="E36" s="11">
        <v>50000</v>
      </c>
      <c r="F36" s="223">
        <f>+E36/F22</f>
        <v>0.29999940000120001</v>
      </c>
      <c r="G36" s="224">
        <f>+D36-F36</f>
        <v>-3.293962134034456E-2</v>
      </c>
      <c r="H36" s="39">
        <v>50000</v>
      </c>
      <c r="I36" s="220">
        <f>+H36/H22</f>
        <v>0.5</v>
      </c>
      <c r="K36" s="31" t="s">
        <v>7</v>
      </c>
      <c r="L36" s="31" t="s">
        <v>7</v>
      </c>
    </row>
    <row r="37" spans="1:12" ht="16.95" customHeight="1" x14ac:dyDescent="0.3">
      <c r="A37" s="198">
        <v>3</v>
      </c>
      <c r="B37" s="225" t="s">
        <v>443</v>
      </c>
      <c r="C37" s="50">
        <v>44198</v>
      </c>
      <c r="D37" s="226">
        <f>+C37/D22</f>
        <v>0.23607016194504979</v>
      </c>
      <c r="E37" s="50">
        <v>66667</v>
      </c>
      <c r="F37" s="227">
        <f>+E37/F22</f>
        <v>0.40000119999760003</v>
      </c>
      <c r="G37" s="228">
        <f>+D37-F37</f>
        <v>-0.16393103805255024</v>
      </c>
      <c r="H37" s="39"/>
      <c r="I37" s="220"/>
      <c r="K37" s="31" t="s">
        <v>7</v>
      </c>
    </row>
    <row r="38" spans="1:12" ht="16.95" customHeight="1" thickBot="1" x14ac:dyDescent="0.35">
      <c r="A38" s="229" t="s">
        <v>7</v>
      </c>
      <c r="B38" s="230"/>
      <c r="C38" s="61">
        <f>SUM(C35:C37)</f>
        <v>144198</v>
      </c>
      <c r="D38" s="231">
        <f>SUM(D35:D37)</f>
        <v>0.77018971926676072</v>
      </c>
      <c r="E38" s="61">
        <f>SUM(E35:E37)</f>
        <v>166667</v>
      </c>
      <c r="F38" s="232">
        <f>SUM(F35:F37)</f>
        <v>1</v>
      </c>
      <c r="G38" s="233">
        <f>SUM(G35:G37)</f>
        <v>-0.22981028073323936</v>
      </c>
      <c r="H38" s="217"/>
      <c r="I38" s="234"/>
      <c r="K38" s="31" t="s">
        <v>7</v>
      </c>
    </row>
    <row r="39" spans="1:12" ht="16.95" customHeight="1" x14ac:dyDescent="0.3">
      <c r="A39" s="235"/>
      <c r="B39" s="213"/>
      <c r="C39" s="193"/>
      <c r="D39" s="236"/>
      <c r="E39" s="193"/>
      <c r="F39" s="237"/>
      <c r="G39" s="238"/>
    </row>
    <row r="42" spans="1:12" ht="18" customHeight="1" x14ac:dyDescent="0.3">
      <c r="A42" s="239"/>
      <c r="B42" s="239"/>
      <c r="C42" s="239"/>
    </row>
    <row r="43" spans="1:12" ht="18" customHeight="1" x14ac:dyDescent="0.3">
      <c r="F43" s="42"/>
      <c r="G43" s="42"/>
    </row>
    <row r="44" spans="1:12" ht="18" customHeight="1" x14ac:dyDescent="0.3">
      <c r="A44" s="106"/>
    </row>
    <row r="45" spans="1:12" ht="18" customHeight="1" x14ac:dyDescent="0.3">
      <c r="A45" s="106"/>
    </row>
    <row r="46" spans="1:12" ht="18" customHeight="1" x14ac:dyDescent="0.3">
      <c r="A46" s="106"/>
    </row>
    <row r="47" spans="1:12" ht="18" customHeight="1" x14ac:dyDescent="0.3">
      <c r="F47" s="42"/>
      <c r="G47" s="42"/>
    </row>
    <row r="48" spans="1:12" ht="18" customHeight="1" x14ac:dyDescent="0.3">
      <c r="A48" s="106"/>
    </row>
    <row r="49" spans="1:7" ht="18" customHeight="1" x14ac:dyDescent="0.3">
      <c r="A49" s="106"/>
    </row>
    <row r="53" spans="1:7" ht="18" customHeight="1" x14ac:dyDescent="0.3">
      <c r="F53" s="42"/>
      <c r="G53" s="42"/>
    </row>
    <row r="66" spans="6:7" ht="18" customHeight="1" x14ac:dyDescent="0.3">
      <c r="F66" s="42"/>
      <c r="G66" s="42"/>
    </row>
    <row r="73" spans="6:7" ht="18" customHeight="1" x14ac:dyDescent="0.3">
      <c r="F73" s="42"/>
      <c r="G73" s="42"/>
    </row>
  </sheetData>
  <sheetProtection sheet="1" objects="1" scenarios="1"/>
  <mergeCells count="46">
    <mergeCell ref="A26:C26"/>
    <mergeCell ref="A30:G30"/>
    <mergeCell ref="A33:A34"/>
    <mergeCell ref="B33:B34"/>
    <mergeCell ref="C33:D33"/>
    <mergeCell ref="E33:F33"/>
    <mergeCell ref="G33:G34"/>
    <mergeCell ref="A28:C28"/>
    <mergeCell ref="A29:C29"/>
    <mergeCell ref="A19:C19"/>
    <mergeCell ref="F18:G18"/>
    <mergeCell ref="A14:G14"/>
    <mergeCell ref="A23:G23"/>
    <mergeCell ref="A25:C25"/>
    <mergeCell ref="A1:G1"/>
    <mergeCell ref="A2:G2"/>
    <mergeCell ref="A3:G3"/>
    <mergeCell ref="A31:G31"/>
    <mergeCell ref="A27:C27"/>
    <mergeCell ref="A24:G24"/>
    <mergeCell ref="D25:E25"/>
    <mergeCell ref="F25:G25"/>
    <mergeCell ref="A17:G17"/>
    <mergeCell ref="D18:E18"/>
    <mergeCell ref="A21:C21"/>
    <mergeCell ref="A22:C22"/>
    <mergeCell ref="D5:E5"/>
    <mergeCell ref="F5:G5"/>
    <mergeCell ref="A7:C7"/>
    <mergeCell ref="A18:C18"/>
    <mergeCell ref="H5:I5"/>
    <mergeCell ref="H18:I18"/>
    <mergeCell ref="H25:I25"/>
    <mergeCell ref="H33:I33"/>
    <mergeCell ref="A4:G4"/>
    <mergeCell ref="A5:C6"/>
    <mergeCell ref="A32:G32"/>
    <mergeCell ref="A8:C8"/>
    <mergeCell ref="A9:C9"/>
    <mergeCell ref="A10:C10"/>
    <mergeCell ref="A11:C11"/>
    <mergeCell ref="A12:C12"/>
    <mergeCell ref="A20:C20"/>
    <mergeCell ref="A13:G13"/>
    <mergeCell ref="A16:G16"/>
    <mergeCell ref="A15:G15"/>
  </mergeCells>
  <pageMargins left="0.59055118110236227" right="0.59055118110236227" top="0.78740157480314965" bottom="0.78740157480314965" header="0" footer="0"/>
  <pageSetup paperSize="9" scale="85" orientation="portrait" r:id="rId1"/>
  <ignoredErrors>
    <ignoredError sqref="F35:F36 D35:D36 D38:F38 E27 G27"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39"/>
  <sheetViews>
    <sheetView showGridLines="0" view="pageBreakPreview" topLeftCell="A136" zoomScaleNormal="100" zoomScaleSheetLayoutView="100" workbookViewId="0">
      <selection activeCell="C142" sqref="C142"/>
    </sheetView>
  </sheetViews>
  <sheetFormatPr defaultColWidth="9.109375" defaultRowHeight="18" customHeight="1" x14ac:dyDescent="0.3"/>
  <cols>
    <col min="1" max="1" width="6.6640625" style="31" customWidth="1"/>
    <col min="2" max="2" width="34.6640625" style="31" customWidth="1"/>
    <col min="3" max="3" width="14.6640625" style="31" bestFit="1" customWidth="1"/>
    <col min="4" max="4" width="13.6640625" style="31" bestFit="1" customWidth="1"/>
    <col min="5" max="5" width="12.109375" style="43" bestFit="1" customWidth="1"/>
    <col min="6" max="6" width="9.77734375" style="43" customWidth="1"/>
    <col min="7" max="7" width="14.6640625" style="43" bestFit="1" customWidth="1"/>
    <col min="8" max="8" width="19.5546875" style="31" bestFit="1" customWidth="1"/>
    <col min="9" max="9" width="16.6640625" style="31" bestFit="1" customWidth="1"/>
    <col min="10" max="10" width="17.33203125" style="31" bestFit="1" customWidth="1"/>
    <col min="11" max="11" width="16.6640625" style="31" bestFit="1" customWidth="1"/>
    <col min="12" max="16384" width="9.109375" style="31"/>
  </cols>
  <sheetData>
    <row r="1" spans="1:11" ht="18" customHeight="1" x14ac:dyDescent="0.3">
      <c r="A1" s="365" t="str">
        <f>+BS!A1</f>
        <v>PROGEN RENEWABLES LIMITED</v>
      </c>
      <c r="B1" s="365"/>
      <c r="C1" s="365"/>
      <c r="D1" s="365"/>
      <c r="E1" s="365"/>
      <c r="F1" s="365"/>
      <c r="G1" s="365"/>
    </row>
    <row r="2" spans="1:11" ht="18" customHeight="1" thickBot="1" x14ac:dyDescent="0.35">
      <c r="A2" s="426" t="s">
        <v>272</v>
      </c>
      <c r="B2" s="426"/>
      <c r="C2" s="426"/>
      <c r="D2" s="426"/>
      <c r="E2" s="426"/>
      <c r="F2" s="426"/>
      <c r="G2" s="426"/>
    </row>
    <row r="3" spans="1:11" ht="18" customHeight="1" x14ac:dyDescent="0.3">
      <c r="A3" s="364"/>
      <c r="B3" s="364"/>
      <c r="C3" s="364"/>
      <c r="D3" s="364"/>
      <c r="E3" s="364"/>
      <c r="F3" s="364"/>
      <c r="G3" s="364"/>
      <c r="J3" s="31" t="s">
        <v>7</v>
      </c>
    </row>
    <row r="4" spans="1:11" ht="18" customHeight="1" thickBot="1" x14ac:dyDescent="0.35">
      <c r="A4" s="438" t="s">
        <v>853</v>
      </c>
      <c r="B4" s="438"/>
      <c r="C4" s="438"/>
      <c r="D4" s="438"/>
      <c r="E4" s="438"/>
      <c r="F4" s="438"/>
      <c r="G4" s="438"/>
    </row>
    <row r="5" spans="1:11" ht="33" customHeight="1" x14ac:dyDescent="0.3">
      <c r="A5" s="41" t="s">
        <v>60</v>
      </c>
      <c r="B5" s="524" t="s">
        <v>0</v>
      </c>
      <c r="C5" s="525"/>
      <c r="D5" s="500" t="str">
        <f>+'Note 4 - SOCES'!D25</f>
        <v>As at 31st March, 2025</v>
      </c>
      <c r="E5" s="501"/>
      <c r="F5" s="500" t="s">
        <v>27</v>
      </c>
      <c r="G5" s="516"/>
      <c r="H5" s="122" t="s">
        <v>470</v>
      </c>
    </row>
    <row r="6" spans="1:11" ht="18" customHeight="1" x14ac:dyDescent="0.3">
      <c r="A6" s="37">
        <v>1</v>
      </c>
      <c r="B6" s="583" t="s">
        <v>61</v>
      </c>
      <c r="C6" s="584"/>
      <c r="D6" s="562"/>
      <c r="E6" s="563"/>
      <c r="F6" s="556"/>
      <c r="G6" s="557"/>
    </row>
    <row r="7" spans="1:11" ht="18" customHeight="1" x14ac:dyDescent="0.3">
      <c r="A7" s="32"/>
      <c r="B7" s="528" t="s">
        <v>62</v>
      </c>
      <c r="C7" s="529"/>
      <c r="D7" s="560">
        <f>+F10</f>
        <v>106082897</v>
      </c>
      <c r="E7" s="561"/>
      <c r="F7" s="558">
        <v>34498048</v>
      </c>
      <c r="G7" s="559"/>
      <c r="H7" s="39">
        <v>19588654</v>
      </c>
      <c r="I7" s="40"/>
      <c r="J7" s="31" t="s">
        <v>7</v>
      </c>
      <c r="K7" s="40" t="s">
        <v>7</v>
      </c>
    </row>
    <row r="8" spans="1:11" ht="18" customHeight="1" x14ac:dyDescent="0.3">
      <c r="A8" s="32"/>
      <c r="B8" s="528" t="s">
        <v>408</v>
      </c>
      <c r="C8" s="529"/>
      <c r="D8" s="560">
        <f>+'P&amp;L'!D33</f>
        <v>126295478</v>
      </c>
      <c r="E8" s="561"/>
      <c r="F8" s="558">
        <f>+'P&amp;L'!E33</f>
        <v>71584849</v>
      </c>
      <c r="G8" s="559"/>
      <c r="H8" s="39">
        <f>+'P&amp;L'!F33</f>
        <v>14909394</v>
      </c>
    </row>
    <row r="9" spans="1:11" ht="18" customHeight="1" x14ac:dyDescent="0.3">
      <c r="A9" s="32"/>
      <c r="B9" s="310" t="s">
        <v>1044</v>
      </c>
      <c r="C9" s="272"/>
      <c r="D9" s="544">
        <v>-183832</v>
      </c>
      <c r="E9" s="546"/>
      <c r="F9" s="544">
        <v>0</v>
      </c>
      <c r="G9" s="545"/>
      <c r="H9" s="39">
        <v>0</v>
      </c>
    </row>
    <row r="10" spans="1:11" ht="18" customHeight="1" thickBot="1" x14ac:dyDescent="0.35">
      <c r="A10" s="32"/>
      <c r="B10" s="585" t="s">
        <v>444</v>
      </c>
      <c r="C10" s="586"/>
      <c r="D10" s="488">
        <f>SUM(D7:E9)</f>
        <v>232194543</v>
      </c>
      <c r="E10" s="509"/>
      <c r="F10" s="488">
        <f>SUM(F7:G9)</f>
        <v>106082897</v>
      </c>
      <c r="G10" s="489"/>
      <c r="H10" s="190">
        <f>SUM(H6:H8)</f>
        <v>34498048</v>
      </c>
      <c r="I10" s="40"/>
      <c r="J10" s="40" t="s">
        <v>7</v>
      </c>
    </row>
    <row r="11" spans="1:11" ht="18" customHeight="1" x14ac:dyDescent="0.3">
      <c r="A11" s="32"/>
      <c r="B11" s="528"/>
      <c r="C11" s="529"/>
      <c r="D11" s="589"/>
      <c r="E11" s="590"/>
      <c r="F11" s="579"/>
      <c r="G11" s="580"/>
      <c r="H11" s="39"/>
    </row>
    <row r="12" spans="1:11" ht="18" customHeight="1" x14ac:dyDescent="0.3">
      <c r="A12" s="32">
        <v>2</v>
      </c>
      <c r="B12" s="585" t="s">
        <v>445</v>
      </c>
      <c r="C12" s="586"/>
      <c r="D12" s="581"/>
      <c r="E12" s="582"/>
      <c r="F12" s="558"/>
      <c r="G12" s="559"/>
      <c r="H12" s="39"/>
    </row>
    <row r="13" spans="1:11" ht="18" customHeight="1" x14ac:dyDescent="0.3">
      <c r="A13" s="32"/>
      <c r="B13" s="528" t="s">
        <v>446</v>
      </c>
      <c r="C13" s="529"/>
      <c r="D13" s="560">
        <f>+F15</f>
        <v>12533396</v>
      </c>
      <c r="E13" s="561"/>
      <c r="F13" s="558">
        <f>+H15</f>
        <v>0</v>
      </c>
      <c r="G13" s="559"/>
      <c r="H13" s="39">
        <v>0</v>
      </c>
    </row>
    <row r="14" spans="1:11" ht="18" customHeight="1" x14ac:dyDescent="0.3">
      <c r="A14" s="32"/>
      <c r="B14" s="528" t="s">
        <v>447</v>
      </c>
      <c r="C14" s="529"/>
      <c r="D14" s="560">
        <v>206310052</v>
      </c>
      <c r="E14" s="561"/>
      <c r="F14" s="587">
        <v>12533396</v>
      </c>
      <c r="G14" s="588"/>
      <c r="H14" s="39">
        <v>0</v>
      </c>
    </row>
    <row r="15" spans="1:11" ht="18" customHeight="1" thickBot="1" x14ac:dyDescent="0.35">
      <c r="A15" s="32"/>
      <c r="B15" s="585" t="s">
        <v>444</v>
      </c>
      <c r="C15" s="586"/>
      <c r="D15" s="488">
        <f>SUM(D11:E14)</f>
        <v>218843448</v>
      </c>
      <c r="E15" s="509"/>
      <c r="F15" s="488">
        <f>SUM(F11:G14)</f>
        <v>12533396</v>
      </c>
      <c r="G15" s="489"/>
      <c r="H15" s="218">
        <f>SUM(H11:H14)</f>
        <v>0</v>
      </c>
    </row>
    <row r="16" spans="1:11" ht="9" customHeight="1" x14ac:dyDescent="0.3">
      <c r="A16" s="198"/>
      <c r="B16" s="512"/>
      <c r="C16" s="513"/>
      <c r="D16" s="601"/>
      <c r="E16" s="602"/>
      <c r="F16" s="592"/>
      <c r="G16" s="593"/>
      <c r="H16" s="39"/>
    </row>
    <row r="17" spans="1:12" ht="18" customHeight="1" thickBot="1" x14ac:dyDescent="0.35">
      <c r="A17" s="33"/>
      <c r="B17" s="597" t="s">
        <v>18</v>
      </c>
      <c r="C17" s="598"/>
      <c r="D17" s="603">
        <f>+D10+D15</f>
        <v>451037991</v>
      </c>
      <c r="E17" s="509"/>
      <c r="F17" s="488">
        <f>+F10+F15</f>
        <v>118616293</v>
      </c>
      <c r="G17" s="489"/>
      <c r="H17" s="190">
        <f>+H10+H15</f>
        <v>34498048</v>
      </c>
      <c r="I17" s="40" t="s">
        <v>7</v>
      </c>
    </row>
    <row r="18" spans="1:12" ht="18" customHeight="1" x14ac:dyDescent="0.3">
      <c r="A18" s="578"/>
      <c r="B18" s="578"/>
      <c r="C18" s="578"/>
      <c r="D18" s="578"/>
      <c r="E18" s="578"/>
      <c r="F18" s="578"/>
      <c r="G18" s="578"/>
    </row>
    <row r="19" spans="1:12" ht="18" customHeight="1" thickBot="1" x14ac:dyDescent="0.35">
      <c r="A19" s="402" t="s">
        <v>854</v>
      </c>
      <c r="B19" s="402"/>
      <c r="C19" s="402"/>
      <c r="D19" s="402"/>
      <c r="E19" s="402"/>
      <c r="F19" s="402"/>
      <c r="G19" s="402"/>
    </row>
    <row r="20" spans="1:12" ht="33" customHeight="1" x14ac:dyDescent="0.3">
      <c r="A20" s="41" t="s">
        <v>60</v>
      </c>
      <c r="B20" s="524" t="s">
        <v>0</v>
      </c>
      <c r="C20" s="525"/>
      <c r="D20" s="500" t="s">
        <v>342</v>
      </c>
      <c r="E20" s="501"/>
      <c r="F20" s="555" t="s">
        <v>27</v>
      </c>
      <c r="G20" s="516"/>
      <c r="H20" s="122" t="s">
        <v>470</v>
      </c>
    </row>
    <row r="21" spans="1:12" ht="18" customHeight="1" x14ac:dyDescent="0.3">
      <c r="A21" s="32">
        <v>1</v>
      </c>
      <c r="B21" s="459" t="s">
        <v>996</v>
      </c>
      <c r="C21" s="423"/>
      <c r="D21" s="460">
        <v>3535457</v>
      </c>
      <c r="E21" s="492"/>
      <c r="F21" s="554">
        <v>3036391</v>
      </c>
      <c r="G21" s="461"/>
      <c r="H21" s="241">
        <v>3989485</v>
      </c>
      <c r="J21" s="40" t="s">
        <v>7</v>
      </c>
    </row>
    <row r="22" spans="1:12" ht="18" customHeight="1" x14ac:dyDescent="0.3">
      <c r="A22" s="32"/>
      <c r="B22" s="459" t="s">
        <v>353</v>
      </c>
      <c r="C22" s="423"/>
      <c r="D22" s="460">
        <v>-1326512</v>
      </c>
      <c r="E22" s="492"/>
      <c r="F22" s="554">
        <v>-984601</v>
      </c>
      <c r="G22" s="461"/>
      <c r="H22" s="241">
        <v>-953094</v>
      </c>
      <c r="I22" s="40" t="s">
        <v>7</v>
      </c>
      <c r="J22" s="40" t="s">
        <v>7</v>
      </c>
      <c r="K22" s="40" t="s">
        <v>7</v>
      </c>
    </row>
    <row r="23" spans="1:12" ht="9" customHeight="1" x14ac:dyDescent="0.3">
      <c r="A23" s="32"/>
      <c r="B23" s="540"/>
      <c r="C23" s="436"/>
      <c r="D23" s="507"/>
      <c r="E23" s="508"/>
      <c r="F23" s="564"/>
      <c r="G23" s="531"/>
      <c r="H23" s="280"/>
    </row>
    <row r="24" spans="1:12" ht="18" customHeight="1" thickBot="1" x14ac:dyDescent="0.35">
      <c r="A24" s="33"/>
      <c r="B24" s="599" t="s">
        <v>18</v>
      </c>
      <c r="C24" s="600"/>
      <c r="D24" s="565">
        <f>+D21+D22</f>
        <v>2208945</v>
      </c>
      <c r="E24" s="566"/>
      <c r="F24" s="552">
        <f>+F21+F22</f>
        <v>2051790</v>
      </c>
      <c r="G24" s="553"/>
      <c r="H24" s="253">
        <f>+H21+H22</f>
        <v>3036391</v>
      </c>
      <c r="J24" s="40" t="s">
        <v>7</v>
      </c>
    </row>
    <row r="25" spans="1:12" ht="18" customHeight="1" x14ac:dyDescent="0.3">
      <c r="A25" s="363"/>
      <c r="B25" s="363"/>
      <c r="C25" s="363"/>
      <c r="D25" s="363"/>
      <c r="E25" s="363"/>
      <c r="F25" s="363"/>
      <c r="G25" s="363"/>
    </row>
    <row r="26" spans="1:12" ht="18" customHeight="1" thickBot="1" x14ac:dyDescent="0.35">
      <c r="A26" s="426" t="s">
        <v>855</v>
      </c>
      <c r="B26" s="426"/>
      <c r="C26" s="426"/>
      <c r="D26" s="426"/>
      <c r="E26" s="426"/>
      <c r="F26" s="426"/>
      <c r="G26" s="426"/>
    </row>
    <row r="27" spans="1:12" ht="30" customHeight="1" x14ac:dyDescent="0.3">
      <c r="A27" s="41" t="s">
        <v>60</v>
      </c>
      <c r="B27" s="502" t="s">
        <v>494</v>
      </c>
      <c r="C27" s="504"/>
      <c r="D27" s="504"/>
      <c r="E27" s="504"/>
      <c r="F27" s="504"/>
      <c r="G27" s="505"/>
    </row>
    <row r="28" spans="1:12" ht="97.5" customHeight="1" x14ac:dyDescent="0.3">
      <c r="A28" s="111">
        <v>1</v>
      </c>
      <c r="B28" s="604" t="s">
        <v>495</v>
      </c>
      <c r="C28" s="605"/>
      <c r="D28" s="605"/>
      <c r="E28" s="605"/>
      <c r="F28" s="605"/>
      <c r="G28" s="606"/>
      <c r="J28" s="31" t="s">
        <v>7</v>
      </c>
      <c r="L28" s="31" t="s">
        <v>7</v>
      </c>
    </row>
    <row r="29" spans="1:12" ht="97.5" customHeight="1" x14ac:dyDescent="0.3">
      <c r="A29" s="198">
        <v>2</v>
      </c>
      <c r="B29" s="594" t="s">
        <v>496</v>
      </c>
      <c r="C29" s="595"/>
      <c r="D29" s="595"/>
      <c r="E29" s="595"/>
      <c r="F29" s="595"/>
      <c r="G29" s="596"/>
    </row>
    <row r="30" spans="1:12" ht="97.5" customHeight="1" thickBot="1" x14ac:dyDescent="0.35">
      <c r="A30" s="72">
        <v>3</v>
      </c>
      <c r="B30" s="462" t="s">
        <v>497</v>
      </c>
      <c r="C30" s="463"/>
      <c r="D30" s="463"/>
      <c r="E30" s="463"/>
      <c r="F30" s="463"/>
      <c r="G30" s="464"/>
    </row>
    <row r="31" spans="1:12" ht="17.399999999999999" customHeight="1" x14ac:dyDescent="0.3">
      <c r="A31" s="34"/>
      <c r="B31" s="285"/>
      <c r="C31" s="285"/>
      <c r="D31" s="285"/>
      <c r="E31" s="285"/>
      <c r="F31" s="285"/>
      <c r="G31" s="285"/>
    </row>
    <row r="32" spans="1:12" ht="17.399999999999999" customHeight="1" x14ac:dyDescent="0.3">
      <c r="A32" s="34"/>
      <c r="B32" s="285"/>
      <c r="C32" s="285"/>
      <c r="D32" s="285"/>
      <c r="E32" s="285"/>
      <c r="F32" s="285"/>
      <c r="G32" s="285"/>
    </row>
    <row r="33" spans="1:8" ht="17.399999999999999" customHeight="1" x14ac:dyDescent="0.3">
      <c r="A33" s="364" t="s">
        <v>437</v>
      </c>
      <c r="B33" s="364"/>
      <c r="C33" s="364"/>
      <c r="D33" s="364"/>
      <c r="E33" s="364"/>
      <c r="F33" s="364"/>
      <c r="G33" s="364"/>
    </row>
    <row r="34" spans="1:8" ht="17.399999999999999" customHeight="1" thickBot="1" x14ac:dyDescent="0.35">
      <c r="A34" s="426" t="s">
        <v>272</v>
      </c>
      <c r="B34" s="426"/>
      <c r="C34" s="426"/>
      <c r="D34" s="426"/>
      <c r="E34" s="426"/>
      <c r="F34" s="426"/>
      <c r="G34" s="426"/>
    </row>
    <row r="35" spans="1:8" ht="17.399999999999999" customHeight="1" thickBot="1" x14ac:dyDescent="0.35">
      <c r="A35" s="34"/>
      <c r="B35" s="285"/>
      <c r="C35" s="285"/>
      <c r="D35" s="285"/>
      <c r="E35" s="285"/>
      <c r="F35" s="285"/>
      <c r="G35" s="285"/>
    </row>
    <row r="36" spans="1:8" ht="97.5" customHeight="1" x14ac:dyDescent="0.3">
      <c r="A36" s="286">
        <v>4</v>
      </c>
      <c r="B36" s="465" t="s">
        <v>499</v>
      </c>
      <c r="C36" s="466"/>
      <c r="D36" s="466"/>
      <c r="E36" s="466"/>
      <c r="F36" s="466"/>
      <c r="G36" s="467"/>
    </row>
    <row r="37" spans="1:8" ht="97.5" customHeight="1" thickBot="1" x14ac:dyDescent="0.35">
      <c r="A37" s="33">
        <v>5</v>
      </c>
      <c r="B37" s="462" t="s">
        <v>498</v>
      </c>
      <c r="C37" s="463"/>
      <c r="D37" s="463"/>
      <c r="E37" s="463"/>
      <c r="F37" s="463"/>
      <c r="G37" s="464"/>
    </row>
    <row r="38" spans="1:8" ht="18" customHeight="1" x14ac:dyDescent="0.3">
      <c r="A38" s="370"/>
      <c r="B38" s="370"/>
      <c r="C38" s="370"/>
      <c r="D38" s="370"/>
      <c r="E38" s="370"/>
      <c r="F38" s="370"/>
      <c r="G38" s="370"/>
    </row>
    <row r="39" spans="1:8" ht="18" customHeight="1" thickBot="1" x14ac:dyDescent="0.35">
      <c r="A39" s="426" t="s">
        <v>856</v>
      </c>
      <c r="B39" s="426"/>
      <c r="C39" s="426"/>
      <c r="D39" s="426"/>
      <c r="E39" s="426"/>
      <c r="F39" s="426"/>
      <c r="G39" s="426"/>
    </row>
    <row r="40" spans="1:8" ht="33" customHeight="1" x14ac:dyDescent="0.3">
      <c r="A40" s="41" t="s">
        <v>60</v>
      </c>
      <c r="B40" s="502" t="s">
        <v>0</v>
      </c>
      <c r="C40" s="503"/>
      <c r="D40" s="493" t="s">
        <v>342</v>
      </c>
      <c r="E40" s="495"/>
      <c r="F40" s="493" t="s">
        <v>27</v>
      </c>
      <c r="G40" s="494"/>
      <c r="H40" s="122" t="s">
        <v>470</v>
      </c>
    </row>
    <row r="41" spans="1:8" ht="18" customHeight="1" x14ac:dyDescent="0.3">
      <c r="A41" s="32">
        <v>1</v>
      </c>
      <c r="B41" s="550" t="s">
        <v>454</v>
      </c>
      <c r="C41" s="551"/>
      <c r="D41" s="496">
        <f>+F44</f>
        <v>225648</v>
      </c>
      <c r="E41" s="497"/>
      <c r="F41" s="496">
        <f>+H44</f>
        <v>162653</v>
      </c>
      <c r="G41" s="523"/>
      <c r="H41" s="39">
        <v>59908</v>
      </c>
    </row>
    <row r="42" spans="1:8" ht="18" customHeight="1" x14ac:dyDescent="0.3">
      <c r="A42" s="32"/>
      <c r="B42" s="609" t="s">
        <v>455</v>
      </c>
      <c r="C42" s="610"/>
      <c r="D42" s="460">
        <v>-1757446</v>
      </c>
      <c r="E42" s="492"/>
      <c r="F42" s="460">
        <f>+'P&amp;L'!E29</f>
        <v>62995</v>
      </c>
      <c r="G42" s="461"/>
      <c r="H42" s="39">
        <f>+'P&amp;L'!F29</f>
        <v>102745</v>
      </c>
    </row>
    <row r="43" spans="1:8" ht="9" customHeight="1" x14ac:dyDescent="0.3">
      <c r="A43" s="198"/>
      <c r="B43" s="607"/>
      <c r="C43" s="608"/>
      <c r="D43" s="478"/>
      <c r="E43" s="479"/>
      <c r="F43" s="530"/>
      <c r="G43" s="531"/>
      <c r="H43" s="39"/>
    </row>
    <row r="44" spans="1:8" ht="18" customHeight="1" thickBot="1" x14ac:dyDescent="0.35">
      <c r="A44" s="33"/>
      <c r="B44" s="480" t="s">
        <v>70</v>
      </c>
      <c r="C44" s="481"/>
      <c r="D44" s="498">
        <f>SUM(D41:E43)</f>
        <v>-1531798</v>
      </c>
      <c r="E44" s="506"/>
      <c r="F44" s="498">
        <f>SUM(F41:G43)</f>
        <v>225648</v>
      </c>
      <c r="G44" s="499"/>
      <c r="H44" s="190">
        <f>SUM(H41:H43)</f>
        <v>162653</v>
      </c>
    </row>
    <row r="45" spans="1:8" ht="18" customHeight="1" x14ac:dyDescent="0.3">
      <c r="A45" s="370"/>
      <c r="B45" s="370"/>
      <c r="C45" s="370"/>
      <c r="D45" s="370"/>
      <c r="E45" s="370"/>
      <c r="F45" s="370"/>
      <c r="G45" s="370"/>
    </row>
    <row r="46" spans="1:8" ht="18" customHeight="1" thickBot="1" x14ac:dyDescent="0.35">
      <c r="A46" s="364" t="s">
        <v>1062</v>
      </c>
      <c r="B46" s="364"/>
      <c r="C46" s="364"/>
      <c r="D46" s="364"/>
      <c r="E46" s="364"/>
      <c r="F46" s="364"/>
      <c r="G46" s="364"/>
    </row>
    <row r="47" spans="1:8" ht="33.6" customHeight="1" x14ac:dyDescent="0.3">
      <c r="A47" s="255" t="s">
        <v>60</v>
      </c>
      <c r="B47" s="502" t="s">
        <v>0</v>
      </c>
      <c r="C47" s="503"/>
      <c r="D47" s="502" t="s">
        <v>1063</v>
      </c>
      <c r="E47" s="503"/>
      <c r="F47" s="504" t="s">
        <v>27</v>
      </c>
      <c r="G47" s="505"/>
    </row>
    <row r="48" spans="1:8" ht="18" customHeight="1" x14ac:dyDescent="0.3">
      <c r="A48" s="32">
        <v>1</v>
      </c>
      <c r="B48" s="312" t="s">
        <v>1064</v>
      </c>
      <c r="C48" s="249"/>
      <c r="D48" s="470">
        <f>+'Notes-P&amp;L'!C56</f>
        <v>1204777</v>
      </c>
      <c r="E48" s="471"/>
      <c r="F48" s="468">
        <v>0</v>
      </c>
      <c r="G48" s="469"/>
    </row>
    <row r="49" spans="1:10" ht="18" customHeight="1" x14ac:dyDescent="0.3">
      <c r="A49" s="314"/>
      <c r="B49" s="478"/>
      <c r="C49" s="479"/>
      <c r="D49" s="475"/>
      <c r="E49" s="477"/>
      <c r="F49" s="475"/>
      <c r="G49" s="476"/>
    </row>
    <row r="50" spans="1:10" ht="18" customHeight="1" thickBot="1" x14ac:dyDescent="0.35">
      <c r="A50" s="313"/>
      <c r="B50" s="480" t="s">
        <v>18</v>
      </c>
      <c r="C50" s="481"/>
      <c r="D50" s="472">
        <f>SUM(D48:E49)</f>
        <v>1204777</v>
      </c>
      <c r="E50" s="473"/>
      <c r="F50" s="472">
        <f>SUM(F48:G49)</f>
        <v>0</v>
      </c>
      <c r="G50" s="474"/>
    </row>
    <row r="51" spans="1:10" ht="18" customHeight="1" x14ac:dyDescent="0.3">
      <c r="A51" s="81"/>
      <c r="B51" s="81"/>
      <c r="C51" s="81"/>
      <c r="D51" s="81"/>
      <c r="E51" s="81"/>
      <c r="F51" s="81"/>
      <c r="G51" s="81"/>
    </row>
    <row r="52" spans="1:10" ht="18" customHeight="1" thickBot="1" x14ac:dyDescent="0.35">
      <c r="A52" s="438" t="s">
        <v>1065</v>
      </c>
      <c r="B52" s="438"/>
      <c r="C52" s="438"/>
      <c r="D52" s="438"/>
      <c r="E52" s="438"/>
      <c r="F52" s="438"/>
      <c r="G52" s="438"/>
    </row>
    <row r="53" spans="1:10" ht="33" customHeight="1" x14ac:dyDescent="0.3">
      <c r="A53" s="41" t="s">
        <v>60</v>
      </c>
      <c r="B53" s="524" t="s">
        <v>0</v>
      </c>
      <c r="C53" s="525"/>
      <c r="D53" s="500" t="s">
        <v>342</v>
      </c>
      <c r="E53" s="501"/>
      <c r="F53" s="500" t="s">
        <v>27</v>
      </c>
      <c r="G53" s="516"/>
      <c r="H53" s="122" t="s">
        <v>470</v>
      </c>
    </row>
    <row r="54" spans="1:10" ht="18" customHeight="1" x14ac:dyDescent="0.3">
      <c r="A54" s="32">
        <v>1</v>
      </c>
      <c r="B54" s="490" t="s">
        <v>354</v>
      </c>
      <c r="C54" s="491"/>
      <c r="D54" s="496" t="s">
        <v>7</v>
      </c>
      <c r="E54" s="497"/>
      <c r="F54" s="496" t="s">
        <v>7</v>
      </c>
      <c r="G54" s="523"/>
    </row>
    <row r="55" spans="1:10" ht="18" customHeight="1" x14ac:dyDescent="0.3">
      <c r="A55" s="32" t="s">
        <v>7</v>
      </c>
      <c r="B55" s="459" t="s">
        <v>465</v>
      </c>
      <c r="C55" s="423"/>
      <c r="D55" s="460">
        <v>0</v>
      </c>
      <c r="E55" s="492"/>
      <c r="F55" s="460">
        <v>34936660</v>
      </c>
      <c r="G55" s="461"/>
      <c r="H55" s="39">
        <v>0</v>
      </c>
      <c r="J55" s="40" t="s">
        <v>7</v>
      </c>
    </row>
    <row r="56" spans="1:10" ht="18" customHeight="1" x14ac:dyDescent="0.3">
      <c r="A56" s="32"/>
      <c r="B56" s="459" t="s">
        <v>466</v>
      </c>
      <c r="C56" s="423"/>
      <c r="D56" s="460">
        <v>47537077</v>
      </c>
      <c r="E56" s="492"/>
      <c r="F56" s="460">
        <v>0</v>
      </c>
      <c r="G56" s="461"/>
      <c r="H56" s="39">
        <v>0</v>
      </c>
    </row>
    <row r="57" spans="1:10" ht="18" customHeight="1" x14ac:dyDescent="0.3">
      <c r="A57" s="32">
        <v>2</v>
      </c>
      <c r="B57" s="459" t="s">
        <v>792</v>
      </c>
      <c r="C57" s="423"/>
      <c r="D57" s="460">
        <v>0</v>
      </c>
      <c r="E57" s="492"/>
      <c r="F57" s="460">
        <f>550000+2030000+50000</f>
        <v>2630000</v>
      </c>
      <c r="G57" s="461"/>
      <c r="H57" s="39">
        <f>4900000+799999+300000+500000+300000+45000+50000+250000+2030000</f>
        <v>9174999</v>
      </c>
      <c r="I57" s="40" t="s">
        <v>7</v>
      </c>
      <c r="J57" s="40" t="s">
        <v>7</v>
      </c>
    </row>
    <row r="58" spans="1:10" ht="18" customHeight="1" x14ac:dyDescent="0.3">
      <c r="A58" s="32">
        <v>3</v>
      </c>
      <c r="B58" s="459" t="s">
        <v>791</v>
      </c>
      <c r="C58" s="423"/>
      <c r="D58" s="460">
        <v>11500000</v>
      </c>
      <c r="E58" s="492"/>
      <c r="F58" s="460">
        <v>0</v>
      </c>
      <c r="G58" s="461"/>
      <c r="H58" s="39"/>
      <c r="I58" s="40"/>
      <c r="J58" s="40"/>
    </row>
    <row r="59" spans="1:10" ht="18" customHeight="1" x14ac:dyDescent="0.3">
      <c r="A59" s="32">
        <v>4</v>
      </c>
      <c r="B59" s="459" t="s">
        <v>355</v>
      </c>
      <c r="C59" s="423"/>
      <c r="D59" s="460">
        <f>-D22</f>
        <v>1326512</v>
      </c>
      <c r="E59" s="492"/>
      <c r="F59" s="460">
        <f>-F22</f>
        <v>984601</v>
      </c>
      <c r="G59" s="461"/>
      <c r="H59" s="39">
        <f>-H22</f>
        <v>953094</v>
      </c>
      <c r="J59" s="40" t="s">
        <v>7</v>
      </c>
    </row>
    <row r="60" spans="1:10" ht="9.6" customHeight="1" x14ac:dyDescent="0.3">
      <c r="A60" s="198"/>
      <c r="B60" s="540"/>
      <c r="C60" s="436"/>
      <c r="D60" s="507"/>
      <c r="E60" s="508"/>
      <c r="F60" s="530"/>
      <c r="G60" s="531"/>
      <c r="H60" s="39"/>
      <c r="J60" s="40" t="s">
        <v>7</v>
      </c>
    </row>
    <row r="61" spans="1:10" ht="18" customHeight="1" thickBot="1" x14ac:dyDescent="0.35">
      <c r="A61" s="33"/>
      <c r="B61" s="514" t="s">
        <v>18</v>
      </c>
      <c r="C61" s="515"/>
      <c r="D61" s="488">
        <f>SUM(D54:E60)</f>
        <v>60363589</v>
      </c>
      <c r="E61" s="509"/>
      <c r="F61" s="488">
        <f>SUM(F54:G60)</f>
        <v>38551261</v>
      </c>
      <c r="G61" s="489"/>
      <c r="H61" s="190">
        <f>SUM(H54:H60)</f>
        <v>10128093</v>
      </c>
      <c r="J61" s="39" t="s">
        <v>7</v>
      </c>
    </row>
    <row r="62" spans="1:10" ht="18" customHeight="1" x14ac:dyDescent="0.3">
      <c r="A62" s="81"/>
      <c r="B62" s="81"/>
      <c r="C62" s="81"/>
      <c r="D62" s="81"/>
      <c r="E62" s="81"/>
      <c r="F62" s="81"/>
      <c r="G62" s="81"/>
    </row>
    <row r="63" spans="1:10" ht="18" customHeight="1" x14ac:dyDescent="0.3">
      <c r="A63" s="81"/>
      <c r="B63" s="81"/>
      <c r="C63" s="81"/>
      <c r="D63" s="81"/>
      <c r="E63" s="81"/>
      <c r="F63" s="81"/>
      <c r="G63" s="81"/>
    </row>
    <row r="64" spans="1:10" ht="18" customHeight="1" x14ac:dyDescent="0.3">
      <c r="A64" s="81"/>
      <c r="B64" s="81"/>
      <c r="C64" s="81"/>
      <c r="D64" s="81"/>
      <c r="E64" s="81"/>
      <c r="F64" s="81"/>
      <c r="G64" s="81"/>
    </row>
    <row r="65" spans="1:10" ht="18" customHeight="1" x14ac:dyDescent="0.3">
      <c r="A65" s="81"/>
      <c r="B65" s="81"/>
      <c r="C65" s="81"/>
      <c r="D65" s="81"/>
      <c r="E65" s="81"/>
      <c r="F65" s="81"/>
      <c r="G65" s="81"/>
    </row>
    <row r="66" spans="1:10" ht="18" customHeight="1" x14ac:dyDescent="0.3">
      <c r="A66" s="81"/>
      <c r="B66" s="81"/>
      <c r="C66" s="81"/>
      <c r="D66" s="81"/>
      <c r="E66" s="81"/>
      <c r="F66" s="81"/>
      <c r="G66" s="81"/>
    </row>
    <row r="67" spans="1:10" ht="18" customHeight="1" x14ac:dyDescent="0.3">
      <c r="A67" s="81"/>
      <c r="B67" s="81"/>
      <c r="C67" s="81"/>
      <c r="D67" s="81"/>
      <c r="E67" s="81"/>
      <c r="F67" s="81"/>
      <c r="G67" s="81"/>
    </row>
    <row r="68" spans="1:10" ht="18" customHeight="1" x14ac:dyDescent="0.3">
      <c r="A68" s="81"/>
      <c r="B68" s="81"/>
      <c r="C68" s="81"/>
      <c r="D68" s="81"/>
      <c r="E68" s="81"/>
      <c r="F68" s="81"/>
      <c r="G68" s="81"/>
    </row>
    <row r="69" spans="1:10" ht="18" customHeight="1" x14ac:dyDescent="0.3">
      <c r="A69" s="81"/>
      <c r="B69" s="81"/>
      <c r="C69" s="81"/>
      <c r="D69" s="81"/>
      <c r="E69" s="81"/>
      <c r="F69" s="81"/>
      <c r="G69" s="81"/>
    </row>
    <row r="70" spans="1:10" ht="18" customHeight="1" x14ac:dyDescent="0.3">
      <c r="A70" s="364" t="s">
        <v>437</v>
      </c>
      <c r="B70" s="364"/>
      <c r="C70" s="364"/>
      <c r="D70" s="364"/>
      <c r="E70" s="364"/>
      <c r="F70" s="364"/>
      <c r="G70" s="364"/>
    </row>
    <row r="71" spans="1:10" ht="18" customHeight="1" thickBot="1" x14ac:dyDescent="0.35">
      <c r="A71" s="426" t="s">
        <v>272</v>
      </c>
      <c r="B71" s="426"/>
      <c r="C71" s="426"/>
      <c r="D71" s="426"/>
      <c r="E71" s="426"/>
      <c r="F71" s="426"/>
      <c r="G71" s="426"/>
    </row>
    <row r="72" spans="1:10" ht="18" customHeight="1" x14ac:dyDescent="0.3">
      <c r="A72" s="81"/>
      <c r="B72" s="81"/>
      <c r="C72" s="81"/>
      <c r="D72" s="81"/>
      <c r="E72" s="81"/>
      <c r="F72" s="81"/>
      <c r="G72" s="81"/>
    </row>
    <row r="73" spans="1:10" ht="18" customHeight="1" thickBot="1" x14ac:dyDescent="0.35">
      <c r="A73" s="426" t="s">
        <v>1066</v>
      </c>
      <c r="B73" s="426"/>
      <c r="C73" s="426"/>
      <c r="D73" s="426"/>
      <c r="E73" s="426"/>
      <c r="F73" s="426"/>
      <c r="G73" s="426"/>
    </row>
    <row r="74" spans="1:10" ht="24" customHeight="1" x14ac:dyDescent="0.3">
      <c r="A74" s="255" t="s">
        <v>60</v>
      </c>
      <c r="B74" s="502" t="s">
        <v>500</v>
      </c>
      <c r="C74" s="504"/>
      <c r="D74" s="504"/>
      <c r="E74" s="504"/>
      <c r="F74" s="504"/>
      <c r="G74" s="505"/>
    </row>
    <row r="75" spans="1:10" s="188" customFormat="1" ht="120" customHeight="1" thickBot="1" x14ac:dyDescent="0.35">
      <c r="A75" s="289">
        <v>1</v>
      </c>
      <c r="B75" s="519" t="s">
        <v>924</v>
      </c>
      <c r="C75" s="520"/>
      <c r="D75" s="520"/>
      <c r="E75" s="520"/>
      <c r="F75" s="520"/>
      <c r="G75" s="521"/>
    </row>
    <row r="76" spans="1:10" ht="18" customHeight="1" x14ac:dyDescent="0.3">
      <c r="A76" s="370"/>
      <c r="B76" s="370"/>
      <c r="C76" s="370"/>
      <c r="D76" s="370"/>
      <c r="E76" s="370"/>
      <c r="F76" s="370"/>
      <c r="G76" s="370"/>
    </row>
    <row r="77" spans="1:10" ht="18" customHeight="1" thickBot="1" x14ac:dyDescent="0.35">
      <c r="A77" s="438" t="s">
        <v>1067</v>
      </c>
      <c r="B77" s="438"/>
      <c r="C77" s="438"/>
      <c r="D77" s="438"/>
      <c r="E77" s="438"/>
      <c r="F77" s="438"/>
      <c r="G77" s="438"/>
    </row>
    <row r="78" spans="1:10" ht="33" customHeight="1" x14ac:dyDescent="0.3">
      <c r="A78" s="41" t="s">
        <v>60</v>
      </c>
      <c r="B78" s="524" t="s">
        <v>0</v>
      </c>
      <c r="C78" s="525"/>
      <c r="D78" s="500" t="s">
        <v>342</v>
      </c>
      <c r="E78" s="501"/>
      <c r="F78" s="500" t="s">
        <v>27</v>
      </c>
      <c r="G78" s="516"/>
      <c r="H78" s="122" t="s">
        <v>470</v>
      </c>
    </row>
    <row r="79" spans="1:10" ht="18" customHeight="1" x14ac:dyDescent="0.3">
      <c r="A79" s="32">
        <v>1</v>
      </c>
      <c r="B79" s="526" t="s">
        <v>1045</v>
      </c>
      <c r="C79" s="527"/>
      <c r="D79" s="517">
        <f>+'SC &amp; SD'!H37</f>
        <v>121985514</v>
      </c>
      <c r="E79" s="522"/>
      <c r="F79" s="517">
        <f>+'SC &amp; SD'!I37</f>
        <v>42743148</v>
      </c>
      <c r="G79" s="518"/>
      <c r="H79" s="39">
        <v>0</v>
      </c>
    </row>
    <row r="80" spans="1:10" ht="18" customHeight="1" x14ac:dyDescent="0.3">
      <c r="A80" s="32">
        <v>2</v>
      </c>
      <c r="B80" s="528" t="s">
        <v>1046</v>
      </c>
      <c r="C80" s="529"/>
      <c r="D80" s="460">
        <f>+'SC &amp; SD'!C89</f>
        <v>83508575</v>
      </c>
      <c r="E80" s="492"/>
      <c r="F80" s="460">
        <f>+'SC &amp; SD'!D89</f>
        <v>77830318</v>
      </c>
      <c r="G80" s="461"/>
      <c r="H80" s="39">
        <v>44810024</v>
      </c>
      <c r="J80" s="40" t="s">
        <v>7</v>
      </c>
    </row>
    <row r="81" spans="1:11" ht="18" customHeight="1" x14ac:dyDescent="0.3">
      <c r="A81" s="198"/>
      <c r="B81" s="512"/>
      <c r="C81" s="513"/>
      <c r="D81" s="611"/>
      <c r="E81" s="602"/>
      <c r="F81" s="530" t="s">
        <v>7</v>
      </c>
      <c r="G81" s="531"/>
      <c r="H81" s="39"/>
    </row>
    <row r="82" spans="1:11" ht="18" customHeight="1" thickBot="1" x14ac:dyDescent="0.35">
      <c r="A82" s="33"/>
      <c r="B82" s="514" t="s">
        <v>18</v>
      </c>
      <c r="C82" s="515"/>
      <c r="D82" s="488">
        <f>SUM(D79:E81)</f>
        <v>205494089</v>
      </c>
      <c r="E82" s="509"/>
      <c r="F82" s="488">
        <f>SUM(F79:G81)</f>
        <v>120573466</v>
      </c>
      <c r="G82" s="489"/>
      <c r="H82" s="190">
        <f>SUM(H79:H81)</f>
        <v>44810024</v>
      </c>
      <c r="J82" s="40" t="s">
        <v>7</v>
      </c>
    </row>
    <row r="83" spans="1:11" ht="18" customHeight="1" x14ac:dyDescent="0.3">
      <c r="A83" s="370"/>
      <c r="B83" s="370"/>
      <c r="C83" s="370"/>
      <c r="D83" s="370"/>
      <c r="E83" s="370"/>
      <c r="F83" s="370"/>
      <c r="G83" s="370"/>
    </row>
    <row r="84" spans="1:11" ht="18" customHeight="1" x14ac:dyDescent="0.3">
      <c r="A84" s="591" t="s">
        <v>1068</v>
      </c>
      <c r="B84" s="591"/>
      <c r="C84" s="591"/>
      <c r="D84" s="591"/>
      <c r="E84" s="591"/>
      <c r="F84" s="591"/>
      <c r="G84" s="591"/>
      <c r="H84" s="256"/>
    </row>
    <row r="85" spans="1:11" ht="18" customHeight="1" thickBot="1" x14ac:dyDescent="0.35">
      <c r="A85" s="426" t="s">
        <v>1069</v>
      </c>
      <c r="B85" s="426"/>
      <c r="C85" s="426"/>
      <c r="D85" s="426"/>
      <c r="E85" s="426"/>
      <c r="F85" s="426"/>
      <c r="G85" s="426"/>
      <c r="H85" s="106"/>
    </row>
    <row r="86" spans="1:11" ht="30" customHeight="1" x14ac:dyDescent="0.3">
      <c r="A86" s="570" t="s">
        <v>0</v>
      </c>
      <c r="B86" s="455"/>
      <c r="C86" s="493" t="s">
        <v>304</v>
      </c>
      <c r="D86" s="567"/>
      <c r="E86" s="567"/>
      <c r="F86" s="495"/>
      <c r="G86" s="568" t="s">
        <v>18</v>
      </c>
      <c r="H86" s="399" t="s">
        <v>7</v>
      </c>
    </row>
    <row r="87" spans="1:11" ht="18" customHeight="1" x14ac:dyDescent="0.3">
      <c r="A87" s="571"/>
      <c r="B87" s="572"/>
      <c r="C87" s="350" t="s">
        <v>435</v>
      </c>
      <c r="D87" s="77" t="s">
        <v>305</v>
      </c>
      <c r="E87" s="77" t="s">
        <v>306</v>
      </c>
      <c r="F87" s="77" t="s">
        <v>436</v>
      </c>
      <c r="G87" s="569"/>
      <c r="H87" s="399"/>
    </row>
    <row r="88" spans="1:11" ht="18" customHeight="1" x14ac:dyDescent="0.3">
      <c r="A88" s="482" t="s">
        <v>875</v>
      </c>
      <c r="B88" s="483"/>
      <c r="C88" s="346">
        <v>107026812</v>
      </c>
      <c r="D88" s="346">
        <v>9539002</v>
      </c>
      <c r="E88" s="346">
        <v>5419700</v>
      </c>
      <c r="F88" s="346">
        <v>0</v>
      </c>
      <c r="G88" s="349">
        <f>SUM(C88:F88)</f>
        <v>121985514</v>
      </c>
      <c r="H88" s="193" t="s">
        <v>7</v>
      </c>
      <c r="I88" s="31" t="s">
        <v>7</v>
      </c>
    </row>
    <row r="89" spans="1:11" ht="18" customHeight="1" x14ac:dyDescent="0.3">
      <c r="A89" s="482" t="s">
        <v>307</v>
      </c>
      <c r="B89" s="483"/>
      <c r="C89" s="346">
        <v>82646979</v>
      </c>
      <c r="D89" s="346">
        <v>861596</v>
      </c>
      <c r="E89" s="346">
        <v>0</v>
      </c>
      <c r="F89" s="346">
        <v>0</v>
      </c>
      <c r="G89" s="349">
        <f t="shared" ref="G89:G91" si="0">SUM(C89:F89)</f>
        <v>83508575</v>
      </c>
      <c r="H89" s="193" t="s">
        <v>7</v>
      </c>
      <c r="K89" s="31" t="s">
        <v>7</v>
      </c>
    </row>
    <row r="90" spans="1:11" ht="18" customHeight="1" x14ac:dyDescent="0.3">
      <c r="A90" s="486" t="s">
        <v>876</v>
      </c>
      <c r="B90" s="487"/>
      <c r="C90" s="346">
        <v>0</v>
      </c>
      <c r="D90" s="346">
        <v>0</v>
      </c>
      <c r="E90" s="346">
        <v>0</v>
      </c>
      <c r="F90" s="346">
        <v>0</v>
      </c>
      <c r="G90" s="349">
        <f t="shared" si="0"/>
        <v>0</v>
      </c>
      <c r="H90" s="193" t="s">
        <v>7</v>
      </c>
    </row>
    <row r="91" spans="1:11" ht="18" customHeight="1" x14ac:dyDescent="0.3">
      <c r="A91" s="482" t="s">
        <v>308</v>
      </c>
      <c r="B91" s="483"/>
      <c r="C91" s="346">
        <v>0</v>
      </c>
      <c r="D91" s="346">
        <v>0</v>
      </c>
      <c r="E91" s="346">
        <v>0</v>
      </c>
      <c r="F91" s="346">
        <v>0</v>
      </c>
      <c r="G91" s="349">
        <f t="shared" si="0"/>
        <v>0</v>
      </c>
      <c r="H91" s="193" t="s">
        <v>7</v>
      </c>
    </row>
    <row r="92" spans="1:11" ht="18" customHeight="1" thickBot="1" x14ac:dyDescent="0.35">
      <c r="A92" s="573" t="s">
        <v>18</v>
      </c>
      <c r="B92" s="481"/>
      <c r="C92" s="347">
        <f>SUM(C88:C91)</f>
        <v>189673791</v>
      </c>
      <c r="D92" s="347">
        <f>SUM(D88:D91)</f>
        <v>10400598</v>
      </c>
      <c r="E92" s="347">
        <f>SUM(E88:E91)</f>
        <v>5419700</v>
      </c>
      <c r="F92" s="347">
        <f>SUM(F88:F91)</f>
        <v>0</v>
      </c>
      <c r="G92" s="348">
        <f>SUM(G88:G91)</f>
        <v>205494089</v>
      </c>
      <c r="H92" s="193" t="s">
        <v>7</v>
      </c>
      <c r="I92" s="40" t="s">
        <v>7</v>
      </c>
    </row>
    <row r="93" spans="1:11" ht="18" customHeight="1" x14ac:dyDescent="0.3">
      <c r="A93" s="370"/>
      <c r="B93" s="370"/>
      <c r="C93" s="370"/>
      <c r="D93" s="370"/>
      <c r="E93" s="370"/>
      <c r="F93" s="370"/>
      <c r="G93" s="370"/>
      <c r="H93" s="40" t="s">
        <v>7</v>
      </c>
    </row>
    <row r="94" spans="1:11" ht="18" customHeight="1" thickBot="1" x14ac:dyDescent="0.35">
      <c r="A94" s="364" t="s">
        <v>1070</v>
      </c>
      <c r="B94" s="364"/>
      <c r="C94" s="364"/>
      <c r="D94" s="364"/>
      <c r="E94" s="364"/>
      <c r="F94" s="364"/>
      <c r="G94" s="364"/>
      <c r="H94" s="106"/>
    </row>
    <row r="95" spans="1:11" ht="30" customHeight="1" x14ac:dyDescent="0.3">
      <c r="A95" s="574" t="s">
        <v>0</v>
      </c>
      <c r="B95" s="575"/>
      <c r="C95" s="493" t="s">
        <v>304</v>
      </c>
      <c r="D95" s="567"/>
      <c r="E95" s="567"/>
      <c r="F95" s="495"/>
      <c r="G95" s="568" t="s">
        <v>18</v>
      </c>
      <c r="H95" s="399" t="s">
        <v>7</v>
      </c>
    </row>
    <row r="96" spans="1:11" ht="18" customHeight="1" x14ac:dyDescent="0.3">
      <c r="A96" s="576"/>
      <c r="B96" s="577"/>
      <c r="C96" s="350" t="s">
        <v>435</v>
      </c>
      <c r="D96" s="77" t="s">
        <v>305</v>
      </c>
      <c r="E96" s="77" t="s">
        <v>306</v>
      </c>
      <c r="F96" s="77" t="s">
        <v>436</v>
      </c>
      <c r="G96" s="569"/>
      <c r="H96" s="399"/>
    </row>
    <row r="97" spans="1:9" ht="18" customHeight="1" x14ac:dyDescent="0.3">
      <c r="A97" s="482" t="s">
        <v>875</v>
      </c>
      <c r="B97" s="483"/>
      <c r="C97" s="346">
        <v>30967825</v>
      </c>
      <c r="D97" s="346">
        <v>11775323</v>
      </c>
      <c r="E97" s="346">
        <v>0</v>
      </c>
      <c r="F97" s="346">
        <v>0</v>
      </c>
      <c r="G97" s="349">
        <f>SUM(C97:F97)</f>
        <v>42743148</v>
      </c>
      <c r="H97" s="193" t="s">
        <v>7</v>
      </c>
      <c r="I97" s="31" t="s">
        <v>7</v>
      </c>
    </row>
    <row r="98" spans="1:9" ht="18" customHeight="1" x14ac:dyDescent="0.3">
      <c r="A98" s="482" t="s">
        <v>307</v>
      </c>
      <c r="B98" s="483"/>
      <c r="C98" s="346">
        <v>59805331</v>
      </c>
      <c r="D98" s="346">
        <v>18024987</v>
      </c>
      <c r="E98" s="346">
        <v>0</v>
      </c>
      <c r="F98" s="346">
        <v>0</v>
      </c>
      <c r="G98" s="349">
        <f>SUM(C98:F98)</f>
        <v>77830318</v>
      </c>
      <c r="H98" s="193" t="s">
        <v>7</v>
      </c>
    </row>
    <row r="99" spans="1:9" ht="18" customHeight="1" x14ac:dyDescent="0.3">
      <c r="A99" s="486" t="s">
        <v>876</v>
      </c>
      <c r="B99" s="487"/>
      <c r="C99" s="346">
        <v>0</v>
      </c>
      <c r="D99" s="346">
        <v>0</v>
      </c>
      <c r="E99" s="346">
        <v>0</v>
      </c>
      <c r="F99" s="346">
        <v>0</v>
      </c>
      <c r="G99" s="349">
        <f t="shared" ref="G99:G100" si="1">SUM(C99:F99)</f>
        <v>0</v>
      </c>
      <c r="H99" s="193" t="s">
        <v>7</v>
      </c>
    </row>
    <row r="100" spans="1:9" ht="18" customHeight="1" x14ac:dyDescent="0.3">
      <c r="A100" s="482" t="s">
        <v>308</v>
      </c>
      <c r="B100" s="483"/>
      <c r="C100" s="346">
        <v>0</v>
      </c>
      <c r="D100" s="346">
        <v>0</v>
      </c>
      <c r="E100" s="346">
        <v>0</v>
      </c>
      <c r="F100" s="346">
        <v>0</v>
      </c>
      <c r="G100" s="349">
        <f t="shared" si="1"/>
        <v>0</v>
      </c>
      <c r="H100" s="193" t="s">
        <v>7</v>
      </c>
    </row>
    <row r="101" spans="1:9" ht="18" customHeight="1" thickBot="1" x14ac:dyDescent="0.35">
      <c r="A101" s="484" t="s">
        <v>18</v>
      </c>
      <c r="B101" s="485"/>
      <c r="C101" s="347">
        <f>SUM(C97:C100)</f>
        <v>90773156</v>
      </c>
      <c r="D101" s="347">
        <f>SUM(D97:D100)</f>
        <v>29800310</v>
      </c>
      <c r="E101" s="347">
        <f>SUM(E97:E100)</f>
        <v>0</v>
      </c>
      <c r="F101" s="347">
        <f>SUM(F97:F100)</f>
        <v>0</v>
      </c>
      <c r="G101" s="348">
        <f>SUM(G97:G100)</f>
        <v>120573466</v>
      </c>
      <c r="H101" s="193" t="s">
        <v>7</v>
      </c>
      <c r="I101" s="40" t="s">
        <v>7</v>
      </c>
    </row>
    <row r="102" spans="1:9" ht="18" customHeight="1" x14ac:dyDescent="0.3">
      <c r="E102" s="31"/>
      <c r="F102" s="31"/>
      <c r="G102" s="31"/>
    </row>
    <row r="103" spans="1:9" ht="18" customHeight="1" x14ac:dyDescent="0.3">
      <c r="E103" s="31"/>
      <c r="F103" s="31"/>
      <c r="G103" s="31"/>
    </row>
    <row r="104" spans="1:9" ht="18" customHeight="1" x14ac:dyDescent="0.3">
      <c r="E104" s="31"/>
      <c r="F104" s="31"/>
      <c r="G104" s="31"/>
    </row>
    <row r="105" spans="1:9" ht="18" customHeight="1" x14ac:dyDescent="0.3">
      <c r="E105" s="31"/>
      <c r="F105" s="31"/>
      <c r="G105" s="31"/>
    </row>
    <row r="106" spans="1:9" ht="18" customHeight="1" x14ac:dyDescent="0.3">
      <c r="E106" s="31"/>
      <c r="F106" s="31"/>
      <c r="G106" s="31"/>
    </row>
    <row r="107" spans="1:9" ht="18" customHeight="1" x14ac:dyDescent="0.3">
      <c r="E107" s="31"/>
      <c r="F107" s="31"/>
      <c r="G107" s="31"/>
    </row>
    <row r="108" spans="1:9" ht="18" customHeight="1" x14ac:dyDescent="0.3">
      <c r="E108" s="31"/>
      <c r="F108" s="31"/>
      <c r="G108" s="31"/>
    </row>
    <row r="109" spans="1:9" ht="18" customHeight="1" x14ac:dyDescent="0.3">
      <c r="A109" s="364" t="s">
        <v>437</v>
      </c>
      <c r="B109" s="364"/>
      <c r="C109" s="364"/>
      <c r="D109" s="364"/>
      <c r="E109" s="364"/>
      <c r="F109" s="364"/>
      <c r="G109" s="364"/>
    </row>
    <row r="110" spans="1:9" ht="18" customHeight="1" thickBot="1" x14ac:dyDescent="0.35">
      <c r="A110" s="426" t="s">
        <v>272</v>
      </c>
      <c r="B110" s="426"/>
      <c r="C110" s="426"/>
      <c r="D110" s="426"/>
      <c r="E110" s="426"/>
      <c r="F110" s="426"/>
      <c r="G110" s="426"/>
    </row>
    <row r="111" spans="1:9" ht="18" customHeight="1" x14ac:dyDescent="0.3">
      <c r="E111" s="31"/>
      <c r="F111" s="31"/>
      <c r="G111" s="31"/>
    </row>
    <row r="112" spans="1:9" ht="18" customHeight="1" thickBot="1" x14ac:dyDescent="0.35">
      <c r="A112" s="438" t="s">
        <v>1071</v>
      </c>
      <c r="B112" s="438"/>
      <c r="C112" s="438"/>
      <c r="D112" s="438"/>
      <c r="E112" s="438"/>
      <c r="F112" s="438"/>
      <c r="G112" s="438"/>
    </row>
    <row r="113" spans="1:10" ht="33" customHeight="1" x14ac:dyDescent="0.3">
      <c r="A113" s="41" t="s">
        <v>60</v>
      </c>
      <c r="B113" s="524" t="s">
        <v>0</v>
      </c>
      <c r="C113" s="525"/>
      <c r="D113" s="500" t="s">
        <v>342</v>
      </c>
      <c r="E113" s="501"/>
      <c r="F113" s="500" t="s">
        <v>27</v>
      </c>
      <c r="G113" s="516"/>
      <c r="H113" s="122" t="s">
        <v>470</v>
      </c>
    </row>
    <row r="114" spans="1:10" ht="18" customHeight="1" x14ac:dyDescent="0.3">
      <c r="A114" s="32">
        <v>1</v>
      </c>
      <c r="B114" s="536" t="s">
        <v>1047</v>
      </c>
      <c r="C114" s="537"/>
      <c r="D114" s="496">
        <f>+'SC &amp; SD'!W41</f>
        <v>86306370</v>
      </c>
      <c r="E114" s="497"/>
      <c r="F114" s="496">
        <f>+'SC &amp; SD'!X41</f>
        <v>118766471</v>
      </c>
      <c r="G114" s="523"/>
      <c r="H114" s="39">
        <v>327447765</v>
      </c>
      <c r="J114" s="40" t="s">
        <v>7</v>
      </c>
    </row>
    <row r="115" spans="1:10" ht="18" customHeight="1" x14ac:dyDescent="0.3">
      <c r="A115" s="32">
        <v>2</v>
      </c>
      <c r="B115" s="538" t="s">
        <v>237</v>
      </c>
      <c r="C115" s="539"/>
      <c r="D115" s="510"/>
      <c r="E115" s="511"/>
      <c r="F115" s="460"/>
      <c r="G115" s="461"/>
      <c r="H115" s="39"/>
    </row>
    <row r="116" spans="1:10" ht="18" customHeight="1" x14ac:dyDescent="0.3">
      <c r="A116" s="32" t="s">
        <v>7</v>
      </c>
      <c r="B116" s="459" t="s">
        <v>356</v>
      </c>
      <c r="C116" s="423"/>
      <c r="D116" s="460">
        <v>100919198</v>
      </c>
      <c r="E116" s="492"/>
      <c r="F116" s="460">
        <v>35000000</v>
      </c>
      <c r="G116" s="461"/>
      <c r="H116" s="39">
        <v>2402167</v>
      </c>
      <c r="J116" s="40"/>
    </row>
    <row r="117" spans="1:10" ht="18" customHeight="1" x14ac:dyDescent="0.3">
      <c r="A117" s="32"/>
      <c r="B117" s="459" t="s">
        <v>982</v>
      </c>
      <c r="C117" s="423"/>
      <c r="D117" s="534">
        <v>24590522</v>
      </c>
      <c r="E117" s="535"/>
      <c r="F117" s="534">
        <v>0</v>
      </c>
      <c r="G117" s="549"/>
      <c r="H117" s="39">
        <v>0</v>
      </c>
      <c r="J117" s="116" t="s">
        <v>7</v>
      </c>
    </row>
    <row r="118" spans="1:10" ht="18" customHeight="1" x14ac:dyDescent="0.3">
      <c r="A118" s="32" t="s">
        <v>7</v>
      </c>
      <c r="B118" s="459" t="s">
        <v>999</v>
      </c>
      <c r="C118" s="423"/>
      <c r="D118" s="460">
        <f>3035743+1414333</f>
        <v>4450076</v>
      </c>
      <c r="E118" s="492"/>
      <c r="F118" s="460">
        <v>460746</v>
      </c>
      <c r="G118" s="461"/>
      <c r="H118" s="39">
        <v>0</v>
      </c>
      <c r="J118" s="40" t="s">
        <v>7</v>
      </c>
    </row>
    <row r="119" spans="1:10" ht="18" customHeight="1" x14ac:dyDescent="0.3">
      <c r="A119" s="32"/>
      <c r="B119" s="459" t="s">
        <v>1033</v>
      </c>
      <c r="C119" s="423"/>
      <c r="D119" s="460">
        <f>6974+100926</f>
        <v>107900</v>
      </c>
      <c r="E119" s="492"/>
      <c r="F119" s="460">
        <f>6523+84776</f>
        <v>91299</v>
      </c>
      <c r="G119" s="461"/>
      <c r="H119" s="39">
        <f>9365+278081</f>
        <v>287446</v>
      </c>
      <c r="J119" s="40"/>
    </row>
    <row r="120" spans="1:10" ht="18" customHeight="1" x14ac:dyDescent="0.3">
      <c r="A120" s="32">
        <v>3</v>
      </c>
      <c r="B120" s="459" t="s">
        <v>997</v>
      </c>
      <c r="C120" s="423"/>
      <c r="D120" s="547">
        <v>558289</v>
      </c>
      <c r="E120" s="548"/>
      <c r="F120" s="460">
        <v>1520526</v>
      </c>
      <c r="G120" s="461"/>
      <c r="H120" s="39">
        <v>3915866</v>
      </c>
      <c r="J120" s="40"/>
    </row>
    <row r="121" spans="1:10" ht="18" customHeight="1" x14ac:dyDescent="0.3">
      <c r="A121" s="198"/>
      <c r="B121" s="540"/>
      <c r="C121" s="436"/>
      <c r="D121" s="507"/>
      <c r="E121" s="508"/>
      <c r="F121" s="530"/>
      <c r="G121" s="531"/>
      <c r="H121" s="39"/>
      <c r="J121" s="40"/>
    </row>
    <row r="122" spans="1:10" ht="18" customHeight="1" thickBot="1" x14ac:dyDescent="0.35">
      <c r="A122" s="33"/>
      <c r="B122" s="541" t="s">
        <v>18</v>
      </c>
      <c r="C122" s="542"/>
      <c r="D122" s="488">
        <f>SUM(D114:E121)</f>
        <v>216932355</v>
      </c>
      <c r="E122" s="509"/>
      <c r="F122" s="488">
        <f>SUM(F114:G121)</f>
        <v>155839042</v>
      </c>
      <c r="G122" s="489"/>
      <c r="H122" s="253">
        <f>SUM(H114:H121)</f>
        <v>334053244</v>
      </c>
    </row>
    <row r="123" spans="1:10" ht="18" customHeight="1" x14ac:dyDescent="0.3">
      <c r="A123" s="34"/>
      <c r="B123" s="287"/>
      <c r="C123" s="287"/>
      <c r="D123" s="288"/>
      <c r="E123" s="288"/>
      <c r="F123" s="288"/>
      <c r="G123" s="288"/>
      <c r="H123" s="254"/>
    </row>
    <row r="124" spans="1:10" ht="18" customHeight="1" x14ac:dyDescent="0.3">
      <c r="A124" s="34"/>
      <c r="B124" s="287"/>
      <c r="C124" s="287"/>
      <c r="D124" s="288"/>
      <c r="E124" s="288"/>
      <c r="F124" s="288"/>
      <c r="G124" s="288"/>
      <c r="H124" s="254"/>
    </row>
    <row r="125" spans="1:10" ht="18" customHeight="1" thickBot="1" x14ac:dyDescent="0.35">
      <c r="A125" s="438" t="s">
        <v>1072</v>
      </c>
      <c r="B125" s="438"/>
      <c r="C125" s="438"/>
      <c r="D125" s="438"/>
      <c r="E125" s="438"/>
      <c r="F125" s="438"/>
      <c r="G125" s="438"/>
    </row>
    <row r="126" spans="1:10" ht="33" customHeight="1" x14ac:dyDescent="0.3">
      <c r="A126" s="41" t="s">
        <v>60</v>
      </c>
      <c r="B126" s="524" t="s">
        <v>0</v>
      </c>
      <c r="C126" s="525"/>
      <c r="D126" s="500" t="s">
        <v>342</v>
      </c>
      <c r="E126" s="501"/>
      <c r="F126" s="500" t="s">
        <v>27</v>
      </c>
      <c r="G126" s="516"/>
      <c r="H126" s="122" t="s">
        <v>470</v>
      </c>
    </row>
    <row r="127" spans="1:10" ht="18" customHeight="1" x14ac:dyDescent="0.3">
      <c r="A127" s="32">
        <v>1</v>
      </c>
      <c r="B127" s="490" t="s">
        <v>359</v>
      </c>
      <c r="C127" s="491"/>
      <c r="D127" s="532"/>
      <c r="E127" s="533"/>
      <c r="F127" s="496"/>
      <c r="G127" s="523"/>
      <c r="H127" s="39"/>
    </row>
    <row r="128" spans="1:10" ht="18" customHeight="1" x14ac:dyDescent="0.3">
      <c r="A128" s="32"/>
      <c r="B128" s="459" t="s">
        <v>357</v>
      </c>
      <c r="C128" s="423"/>
      <c r="D128" s="460">
        <v>1283993</v>
      </c>
      <c r="E128" s="492"/>
      <c r="F128" s="460">
        <v>868016</v>
      </c>
      <c r="G128" s="461"/>
      <c r="H128" s="39">
        <f>1728963+163250</f>
        <v>1892213</v>
      </c>
    </row>
    <row r="129" spans="1:9" ht="18" customHeight="1" x14ac:dyDescent="0.3">
      <c r="A129" s="32"/>
      <c r="B129" s="459" t="s">
        <v>448</v>
      </c>
      <c r="C129" s="423"/>
      <c r="D129" s="460">
        <v>0</v>
      </c>
      <c r="E129" s="492"/>
      <c r="F129" s="460">
        <f>2500000+205000</f>
        <v>2705000</v>
      </c>
      <c r="G129" s="461"/>
      <c r="H129" s="39">
        <v>4200000</v>
      </c>
    </row>
    <row r="130" spans="1:9" ht="18" customHeight="1" x14ac:dyDescent="0.3">
      <c r="A130" s="32">
        <v>2</v>
      </c>
      <c r="B130" s="459" t="s">
        <v>358</v>
      </c>
      <c r="C130" s="423"/>
      <c r="D130" s="460">
        <f>+'P&amp;L'!D27</f>
        <v>46429720</v>
      </c>
      <c r="E130" s="492"/>
      <c r="F130" s="460">
        <f>+'P&amp;L'!E27</f>
        <v>27635821</v>
      </c>
      <c r="G130" s="461"/>
      <c r="H130" s="39">
        <v>0</v>
      </c>
      <c r="I130" s="40" t="s">
        <v>7</v>
      </c>
    </row>
    <row r="131" spans="1:9" ht="18" customHeight="1" x14ac:dyDescent="0.3">
      <c r="A131" s="32">
        <v>3</v>
      </c>
      <c r="B131" s="459" t="s">
        <v>59</v>
      </c>
      <c r="C131" s="423"/>
      <c r="D131" s="460">
        <v>360000</v>
      </c>
      <c r="E131" s="492"/>
      <c r="F131" s="460">
        <v>38000</v>
      </c>
      <c r="G131" s="461"/>
      <c r="H131" s="39">
        <v>38000</v>
      </c>
    </row>
    <row r="132" spans="1:9" ht="18" customHeight="1" x14ac:dyDescent="0.3">
      <c r="A132" s="32">
        <v>4</v>
      </c>
      <c r="B132" s="538" t="s">
        <v>360</v>
      </c>
      <c r="C132" s="539"/>
      <c r="D132" s="460" t="s">
        <v>7</v>
      </c>
      <c r="E132" s="492"/>
      <c r="F132" s="460" t="s">
        <v>7</v>
      </c>
      <c r="G132" s="461"/>
      <c r="H132" s="39" t="s">
        <v>7</v>
      </c>
    </row>
    <row r="133" spans="1:9" ht="18" customHeight="1" x14ac:dyDescent="0.3">
      <c r="A133" s="32"/>
      <c r="B133" s="459" t="s">
        <v>998</v>
      </c>
      <c r="C133" s="423"/>
      <c r="D133" s="460">
        <v>39060</v>
      </c>
      <c r="E133" s="492"/>
      <c r="F133" s="460">
        <v>27450</v>
      </c>
      <c r="G133" s="461"/>
      <c r="H133" s="39">
        <v>57300</v>
      </c>
    </row>
    <row r="134" spans="1:9" ht="18" customHeight="1" x14ac:dyDescent="0.3">
      <c r="A134" s="32"/>
      <c r="B134" s="459" t="s">
        <v>818</v>
      </c>
      <c r="C134" s="423"/>
      <c r="D134" s="460">
        <v>36390</v>
      </c>
      <c r="E134" s="492"/>
      <c r="F134" s="460">
        <v>16209</v>
      </c>
      <c r="G134" s="461"/>
      <c r="H134" s="39">
        <v>0</v>
      </c>
    </row>
    <row r="135" spans="1:9" ht="18" customHeight="1" x14ac:dyDescent="0.3">
      <c r="A135" s="198"/>
      <c r="B135" s="540" t="s">
        <v>7</v>
      </c>
      <c r="C135" s="436"/>
      <c r="D135" s="530" t="s">
        <v>7</v>
      </c>
      <c r="E135" s="543"/>
      <c r="F135" s="530" t="s">
        <v>7</v>
      </c>
      <c r="G135" s="531"/>
      <c r="H135" s="39"/>
    </row>
    <row r="136" spans="1:9" ht="18" customHeight="1" thickBot="1" x14ac:dyDescent="0.35">
      <c r="A136" s="33"/>
      <c r="B136" s="514" t="s">
        <v>18</v>
      </c>
      <c r="C136" s="515"/>
      <c r="D136" s="488">
        <f>SUM(D127:E135)</f>
        <v>48149163</v>
      </c>
      <c r="E136" s="509"/>
      <c r="F136" s="488">
        <f>SUM(F127:G135)</f>
        <v>31290496</v>
      </c>
      <c r="G136" s="489"/>
      <c r="H136" s="190">
        <f>SUM(H127:H135)</f>
        <v>6187513</v>
      </c>
    </row>
    <row r="138" spans="1:9" ht="18" customHeight="1" x14ac:dyDescent="0.3">
      <c r="G138" s="43" t="s">
        <v>7</v>
      </c>
      <c r="H138" s="40" t="s">
        <v>7</v>
      </c>
    </row>
    <row r="139" spans="1:9" ht="18" customHeight="1" x14ac:dyDescent="0.3">
      <c r="D139" s="40" t="s">
        <v>7</v>
      </c>
    </row>
  </sheetData>
  <sheetProtection sheet="1" objects="1" scenarios="1"/>
  <mergeCells count="239">
    <mergeCell ref="A109:G109"/>
    <mergeCell ref="B61:C61"/>
    <mergeCell ref="B60:C60"/>
    <mergeCell ref="D54:E54"/>
    <mergeCell ref="D55:E55"/>
    <mergeCell ref="D56:E56"/>
    <mergeCell ref="F60:G60"/>
    <mergeCell ref="B28:G28"/>
    <mergeCell ref="B53:C53"/>
    <mergeCell ref="B44:C44"/>
    <mergeCell ref="B43:C43"/>
    <mergeCell ref="B42:C42"/>
    <mergeCell ref="A38:G38"/>
    <mergeCell ref="F41:G41"/>
    <mergeCell ref="F42:G42"/>
    <mergeCell ref="F43:G43"/>
    <mergeCell ref="F53:G53"/>
    <mergeCell ref="F82:G82"/>
    <mergeCell ref="D81:E81"/>
    <mergeCell ref="F54:G54"/>
    <mergeCell ref="F55:G55"/>
    <mergeCell ref="A39:G39"/>
    <mergeCell ref="A84:G84"/>
    <mergeCell ref="A85:G85"/>
    <mergeCell ref="F81:G81"/>
    <mergeCell ref="A70:G70"/>
    <mergeCell ref="A71:G71"/>
    <mergeCell ref="D60:E60"/>
    <mergeCell ref="D61:E61"/>
    <mergeCell ref="F17:G17"/>
    <mergeCell ref="F16:G16"/>
    <mergeCell ref="B29:G29"/>
    <mergeCell ref="B17:C17"/>
    <mergeCell ref="B27:G27"/>
    <mergeCell ref="B21:C21"/>
    <mergeCell ref="B20:C20"/>
    <mergeCell ref="B24:C24"/>
    <mergeCell ref="D16:E16"/>
    <mergeCell ref="D17:E17"/>
    <mergeCell ref="A1:G1"/>
    <mergeCell ref="A2:G2"/>
    <mergeCell ref="A3:G3"/>
    <mergeCell ref="A4:G4"/>
    <mergeCell ref="A18:G18"/>
    <mergeCell ref="A19:G19"/>
    <mergeCell ref="F11:G11"/>
    <mergeCell ref="F12:G12"/>
    <mergeCell ref="F15:G15"/>
    <mergeCell ref="D13:E13"/>
    <mergeCell ref="D12:E12"/>
    <mergeCell ref="D14:E14"/>
    <mergeCell ref="D15:E15"/>
    <mergeCell ref="B5:C5"/>
    <mergeCell ref="B6:C6"/>
    <mergeCell ref="B7:C7"/>
    <mergeCell ref="B8:C8"/>
    <mergeCell ref="B10:C10"/>
    <mergeCell ref="B13:C13"/>
    <mergeCell ref="B14:C14"/>
    <mergeCell ref="B15:C15"/>
    <mergeCell ref="B16:C16"/>
    <mergeCell ref="D5:E5"/>
    <mergeCell ref="F13:G13"/>
    <mergeCell ref="H95:H96"/>
    <mergeCell ref="C95:F95"/>
    <mergeCell ref="G95:G96"/>
    <mergeCell ref="H86:H87"/>
    <mergeCell ref="C86:F86"/>
    <mergeCell ref="G86:G87"/>
    <mergeCell ref="A86:B87"/>
    <mergeCell ref="A94:G94"/>
    <mergeCell ref="A90:B90"/>
    <mergeCell ref="A91:B91"/>
    <mergeCell ref="A92:B92"/>
    <mergeCell ref="A89:B89"/>
    <mergeCell ref="A88:B88"/>
    <mergeCell ref="A95:B96"/>
    <mergeCell ref="A93:G93"/>
    <mergeCell ref="D20:E20"/>
    <mergeCell ref="F20:G20"/>
    <mergeCell ref="D21:E21"/>
    <mergeCell ref="F21:G21"/>
    <mergeCell ref="A25:G25"/>
    <mergeCell ref="D10:E10"/>
    <mergeCell ref="F6:G6"/>
    <mergeCell ref="F7:G7"/>
    <mergeCell ref="F8:G8"/>
    <mergeCell ref="F10:G10"/>
    <mergeCell ref="D7:E7"/>
    <mergeCell ref="D8:E8"/>
    <mergeCell ref="D6:E6"/>
    <mergeCell ref="F23:G23"/>
    <mergeCell ref="D24:E24"/>
    <mergeCell ref="F14:G14"/>
    <mergeCell ref="D11:E11"/>
    <mergeCell ref="B12:C12"/>
    <mergeCell ref="F5:G5"/>
    <mergeCell ref="F9:G9"/>
    <mergeCell ref="D9:E9"/>
    <mergeCell ref="B11:C11"/>
    <mergeCell ref="D116:E116"/>
    <mergeCell ref="D118:E118"/>
    <mergeCell ref="D119:E119"/>
    <mergeCell ref="D120:E120"/>
    <mergeCell ref="F120:G120"/>
    <mergeCell ref="F116:G116"/>
    <mergeCell ref="F118:G118"/>
    <mergeCell ref="F119:G119"/>
    <mergeCell ref="F117:G117"/>
    <mergeCell ref="B41:C41"/>
    <mergeCell ref="B40:C40"/>
    <mergeCell ref="A52:G52"/>
    <mergeCell ref="B58:C58"/>
    <mergeCell ref="B59:C59"/>
    <mergeCell ref="B23:C23"/>
    <mergeCell ref="B22:C22"/>
    <mergeCell ref="F24:G24"/>
    <mergeCell ref="D22:E22"/>
    <mergeCell ref="D23:E23"/>
    <mergeCell ref="F22:G22"/>
    <mergeCell ref="B133:C133"/>
    <mergeCell ref="F132:G132"/>
    <mergeCell ref="F133:G133"/>
    <mergeCell ref="F134:G134"/>
    <mergeCell ref="F135:G135"/>
    <mergeCell ref="F136:G136"/>
    <mergeCell ref="F127:G127"/>
    <mergeCell ref="F128:G128"/>
    <mergeCell ref="F129:G129"/>
    <mergeCell ref="F130:G130"/>
    <mergeCell ref="F131:G131"/>
    <mergeCell ref="D133:E133"/>
    <mergeCell ref="B134:C134"/>
    <mergeCell ref="B135:C135"/>
    <mergeCell ref="B136:C136"/>
    <mergeCell ref="D136:E136"/>
    <mergeCell ref="D134:E134"/>
    <mergeCell ref="D135:E135"/>
    <mergeCell ref="D132:E132"/>
    <mergeCell ref="B127:C127"/>
    <mergeCell ref="B128:C128"/>
    <mergeCell ref="B129:C129"/>
    <mergeCell ref="B132:C132"/>
    <mergeCell ref="F121:G121"/>
    <mergeCell ref="F122:G122"/>
    <mergeCell ref="B130:C130"/>
    <mergeCell ref="B131:C131"/>
    <mergeCell ref="F126:G126"/>
    <mergeCell ref="D113:E113"/>
    <mergeCell ref="D114:E114"/>
    <mergeCell ref="D127:E127"/>
    <mergeCell ref="D128:E128"/>
    <mergeCell ref="D129:E129"/>
    <mergeCell ref="D130:E130"/>
    <mergeCell ref="D131:E131"/>
    <mergeCell ref="D117:E117"/>
    <mergeCell ref="B113:C113"/>
    <mergeCell ref="B114:C114"/>
    <mergeCell ref="B115:C115"/>
    <mergeCell ref="B116:C116"/>
    <mergeCell ref="B118:C118"/>
    <mergeCell ref="B119:C119"/>
    <mergeCell ref="B120:C120"/>
    <mergeCell ref="B121:C121"/>
    <mergeCell ref="B122:C122"/>
    <mergeCell ref="D126:E126"/>
    <mergeCell ref="B126:C126"/>
    <mergeCell ref="A125:G125"/>
    <mergeCell ref="D121:E121"/>
    <mergeCell ref="D122:E122"/>
    <mergeCell ref="D115:E115"/>
    <mergeCell ref="D82:E82"/>
    <mergeCell ref="B74:G74"/>
    <mergeCell ref="B81:C81"/>
    <mergeCell ref="B82:C82"/>
    <mergeCell ref="A83:G83"/>
    <mergeCell ref="F78:G78"/>
    <mergeCell ref="F79:G79"/>
    <mergeCell ref="F80:G80"/>
    <mergeCell ref="B75:G75"/>
    <mergeCell ref="D79:E79"/>
    <mergeCell ref="D80:E80"/>
    <mergeCell ref="D78:E78"/>
    <mergeCell ref="A112:G112"/>
    <mergeCell ref="F113:G113"/>
    <mergeCell ref="F114:G114"/>
    <mergeCell ref="F115:G115"/>
    <mergeCell ref="B117:C117"/>
    <mergeCell ref="B78:C78"/>
    <mergeCell ref="B79:C79"/>
    <mergeCell ref="B80:C80"/>
    <mergeCell ref="A26:G26"/>
    <mergeCell ref="F61:G61"/>
    <mergeCell ref="B54:C54"/>
    <mergeCell ref="B55:C55"/>
    <mergeCell ref="B56:C56"/>
    <mergeCell ref="D57:E57"/>
    <mergeCell ref="D58:E58"/>
    <mergeCell ref="D59:E59"/>
    <mergeCell ref="F58:G58"/>
    <mergeCell ref="F59:G59"/>
    <mergeCell ref="F57:G57"/>
    <mergeCell ref="F40:G40"/>
    <mergeCell ref="D40:E40"/>
    <mergeCell ref="D41:E41"/>
    <mergeCell ref="D42:E42"/>
    <mergeCell ref="D43:E43"/>
    <mergeCell ref="F44:G44"/>
    <mergeCell ref="D53:E53"/>
    <mergeCell ref="B47:C47"/>
    <mergeCell ref="D47:E47"/>
    <mergeCell ref="F47:G47"/>
    <mergeCell ref="D44:E44"/>
    <mergeCell ref="A33:G33"/>
    <mergeCell ref="A34:G34"/>
    <mergeCell ref="B57:C57"/>
    <mergeCell ref="F56:G56"/>
    <mergeCell ref="B30:G30"/>
    <mergeCell ref="B36:G36"/>
    <mergeCell ref="B37:G37"/>
    <mergeCell ref="A76:G76"/>
    <mergeCell ref="A77:G77"/>
    <mergeCell ref="A45:G45"/>
    <mergeCell ref="A110:G110"/>
    <mergeCell ref="A46:G46"/>
    <mergeCell ref="F48:G48"/>
    <mergeCell ref="D48:E48"/>
    <mergeCell ref="D50:E50"/>
    <mergeCell ref="F50:G50"/>
    <mergeCell ref="F49:G49"/>
    <mergeCell ref="D49:E49"/>
    <mergeCell ref="B49:C49"/>
    <mergeCell ref="B50:C50"/>
    <mergeCell ref="A100:B100"/>
    <mergeCell ref="A101:B101"/>
    <mergeCell ref="A99:B99"/>
    <mergeCell ref="A98:B98"/>
    <mergeCell ref="A97:B97"/>
    <mergeCell ref="A73:G73"/>
  </mergeCells>
  <hyperlinks>
    <hyperlink ref="B80" location="'Sundry Creditors'!A1" display="Trade Payables" xr:uid="{00000000-0004-0000-0400-000000000000}"/>
    <hyperlink ref="B79" location="'Electricity Exp'!A1" display="Electricity Expense Payable Account" xr:uid="{00000000-0004-0000-0400-000001000000}"/>
  </hyperlinks>
  <pageMargins left="0.59055118110236227" right="0.59055118110236227" top="0.78740157480314965" bottom="0.78740157480314965" header="0" footer="0"/>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2"/>
  <sheetViews>
    <sheetView showGridLines="0" view="pageBreakPreview" zoomScaleNormal="100" zoomScaleSheetLayoutView="100" workbookViewId="0">
      <selection activeCell="D11" sqref="D11"/>
    </sheetView>
  </sheetViews>
  <sheetFormatPr defaultColWidth="9.109375" defaultRowHeight="16.95" customHeight="1" x14ac:dyDescent="0.3"/>
  <cols>
    <col min="1" max="1" width="5.5546875" style="81" bestFit="1" customWidth="1"/>
    <col min="2" max="2" width="28.109375" style="81" bestFit="1" customWidth="1"/>
    <col min="3" max="3" width="7.44140625" style="81" customWidth="1"/>
    <col min="4" max="4" width="16.5546875" style="131" bestFit="1" customWidth="1"/>
    <col min="5" max="5" width="13.88671875" style="131" bestFit="1" customWidth="1"/>
    <col min="6" max="6" width="10.88671875" style="131" bestFit="1" customWidth="1"/>
    <col min="7" max="8" width="16.5546875" style="131" bestFit="1" customWidth="1"/>
    <col min="9" max="9" width="15.88671875" style="131" bestFit="1" customWidth="1"/>
    <col min="10" max="10" width="14.88671875" style="131" bestFit="1" customWidth="1"/>
    <col min="11" max="13" width="16.5546875" style="131" bestFit="1" customWidth="1"/>
    <col min="14" max="14" width="16.88671875" style="131" customWidth="1"/>
    <col min="15" max="15" width="12.6640625" style="131" bestFit="1" customWidth="1"/>
    <col min="16" max="16" width="13.88671875" style="131" bestFit="1" customWidth="1"/>
    <col min="17" max="16384" width="9.109375" style="81"/>
  </cols>
  <sheetData>
    <row r="1" spans="1:16" ht="16.95" customHeight="1" x14ac:dyDescent="0.3">
      <c r="A1" s="365" t="str">
        <f>+BS!A1</f>
        <v>PROGEN RENEWABLES LIMITED</v>
      </c>
      <c r="B1" s="365"/>
      <c r="C1" s="365"/>
      <c r="D1" s="365"/>
      <c r="E1" s="365"/>
      <c r="F1" s="365"/>
      <c r="G1" s="365"/>
      <c r="H1" s="365"/>
      <c r="I1" s="365"/>
      <c r="J1" s="365"/>
      <c r="K1" s="365"/>
      <c r="L1" s="365"/>
      <c r="M1" s="365"/>
    </row>
    <row r="2" spans="1:16" ht="16.95" customHeight="1" x14ac:dyDescent="0.3">
      <c r="A2" s="619" t="str">
        <f>+'Note 4 - SOCES'!A2:G2</f>
        <v>Notes Forming Part of the Financial Statements for the year ended 31th March 2025</v>
      </c>
      <c r="B2" s="619"/>
      <c r="C2" s="619"/>
      <c r="D2" s="619"/>
      <c r="E2" s="619"/>
      <c r="F2" s="619"/>
      <c r="G2" s="619"/>
      <c r="H2" s="619"/>
      <c r="I2" s="619"/>
      <c r="J2" s="619"/>
      <c r="K2" s="619"/>
      <c r="L2" s="619"/>
      <c r="M2" s="619"/>
    </row>
    <row r="3" spans="1:16" ht="16.95" customHeight="1" x14ac:dyDescent="0.3">
      <c r="A3" s="194"/>
      <c r="B3" s="194"/>
      <c r="C3" s="194"/>
      <c r="D3" s="194"/>
      <c r="E3" s="194"/>
      <c r="F3" s="194"/>
      <c r="G3" s="194"/>
      <c r="H3" s="194"/>
      <c r="I3" s="194"/>
      <c r="J3" s="194"/>
      <c r="K3" s="194"/>
      <c r="L3" s="194"/>
      <c r="M3" s="194"/>
    </row>
    <row r="4" spans="1:16" ht="16.95" customHeight="1" x14ac:dyDescent="0.3">
      <c r="A4" s="365" t="s">
        <v>1073</v>
      </c>
      <c r="B4" s="365"/>
      <c r="C4" s="365"/>
      <c r="D4" s="365"/>
      <c r="E4" s="365"/>
      <c r="F4" s="365"/>
      <c r="G4" s="365"/>
      <c r="H4" s="365"/>
      <c r="I4" s="365"/>
      <c r="J4" s="365"/>
      <c r="K4" s="365"/>
      <c r="L4" s="365"/>
      <c r="M4" s="365"/>
    </row>
    <row r="5" spans="1:16" ht="16.95" customHeight="1" thickBot="1" x14ac:dyDescent="0.35"/>
    <row r="6" spans="1:16" ht="21.6" customHeight="1" x14ac:dyDescent="0.3">
      <c r="A6" s="451" t="s">
        <v>60</v>
      </c>
      <c r="B6" s="453" t="s">
        <v>74</v>
      </c>
      <c r="C6" s="453" t="s">
        <v>82</v>
      </c>
      <c r="D6" s="612" t="s">
        <v>75</v>
      </c>
      <c r="E6" s="613"/>
      <c r="F6" s="613"/>
      <c r="G6" s="614"/>
      <c r="H6" s="616" t="s">
        <v>76</v>
      </c>
      <c r="I6" s="617"/>
      <c r="J6" s="617"/>
      <c r="K6" s="618"/>
      <c r="L6" s="613" t="s">
        <v>77</v>
      </c>
      <c r="M6" s="615"/>
    </row>
    <row r="7" spans="1:16" ht="43.2" customHeight="1" x14ac:dyDescent="0.3">
      <c r="A7" s="452"/>
      <c r="B7" s="454"/>
      <c r="C7" s="454"/>
      <c r="D7" s="132" t="s">
        <v>78</v>
      </c>
      <c r="E7" s="133" t="s">
        <v>79</v>
      </c>
      <c r="F7" s="132" t="s">
        <v>80</v>
      </c>
      <c r="G7" s="134" t="s">
        <v>440</v>
      </c>
      <c r="H7" s="132" t="s">
        <v>78</v>
      </c>
      <c r="I7" s="132" t="s">
        <v>81</v>
      </c>
      <c r="J7" s="134" t="s">
        <v>489</v>
      </c>
      <c r="K7" s="134" t="s">
        <v>440</v>
      </c>
      <c r="L7" s="132" t="s">
        <v>78</v>
      </c>
      <c r="M7" s="135" t="s">
        <v>440</v>
      </c>
      <c r="N7" s="136" t="s">
        <v>477</v>
      </c>
    </row>
    <row r="8" spans="1:16" ht="18" customHeight="1" x14ac:dyDescent="0.3">
      <c r="A8" s="32" t="s">
        <v>7</v>
      </c>
      <c r="B8" s="101" t="s">
        <v>125</v>
      </c>
      <c r="C8" s="200"/>
      <c r="D8" s="71" t="s">
        <v>7</v>
      </c>
      <c r="E8" s="71"/>
      <c r="F8" s="71"/>
      <c r="G8" s="71"/>
      <c r="H8" s="71"/>
      <c r="I8" s="71"/>
      <c r="J8" s="71"/>
      <c r="K8" s="71"/>
      <c r="L8" s="71"/>
      <c r="M8" s="12"/>
      <c r="N8" s="121"/>
    </row>
    <row r="9" spans="1:16" ht="18" customHeight="1" x14ac:dyDescent="0.3">
      <c r="A9" s="32"/>
      <c r="B9" s="101" t="s">
        <v>490</v>
      </c>
      <c r="C9" s="200"/>
      <c r="D9" s="11"/>
      <c r="E9" s="11"/>
      <c r="F9" s="11"/>
      <c r="G9" s="11"/>
      <c r="H9" s="11"/>
      <c r="I9" s="11"/>
      <c r="J9" s="11"/>
      <c r="K9" s="11"/>
      <c r="L9" s="11"/>
      <c r="M9" s="12"/>
      <c r="N9" s="121"/>
    </row>
    <row r="10" spans="1:16" ht="18" customHeight="1" x14ac:dyDescent="0.3">
      <c r="A10" s="32">
        <v>1</v>
      </c>
      <c r="B10" s="97" t="s">
        <v>480</v>
      </c>
      <c r="C10" s="200" t="s">
        <v>7</v>
      </c>
      <c r="D10" s="11">
        <v>959887</v>
      </c>
      <c r="E10" s="11">
        <v>0</v>
      </c>
      <c r="F10" s="11">
        <v>0</v>
      </c>
      <c r="G10" s="11">
        <f t="shared" ref="G10:G18" si="0">+D10+E10-F10</f>
        <v>959887</v>
      </c>
      <c r="H10" s="11">
        <v>0</v>
      </c>
      <c r="I10" s="11">
        <v>0</v>
      </c>
      <c r="J10" s="11">
        <v>0</v>
      </c>
      <c r="K10" s="11">
        <f>+H10+I10+J10</f>
        <v>0</v>
      </c>
      <c r="L10" s="11">
        <f t="shared" ref="L10:L18" si="1">+D10-H10</f>
        <v>959887</v>
      </c>
      <c r="M10" s="12">
        <f t="shared" ref="M10:M18" si="2">+G10-K10</f>
        <v>959887</v>
      </c>
      <c r="N10" s="121">
        <v>959887</v>
      </c>
      <c r="P10" s="131" t="s">
        <v>7</v>
      </c>
    </row>
    <row r="11" spans="1:16" ht="18" customHeight="1" x14ac:dyDescent="0.3">
      <c r="A11" s="32">
        <v>2</v>
      </c>
      <c r="B11" s="97" t="s">
        <v>481</v>
      </c>
      <c r="C11" s="200">
        <v>3</v>
      </c>
      <c r="D11" s="11">
        <v>629255</v>
      </c>
      <c r="E11" s="11">
        <v>711249</v>
      </c>
      <c r="F11" s="11">
        <v>0</v>
      </c>
      <c r="G11" s="11">
        <f t="shared" si="0"/>
        <v>1340504</v>
      </c>
      <c r="H11" s="11">
        <v>230817</v>
      </c>
      <c r="I11" s="11">
        <v>189046</v>
      </c>
      <c r="J11" s="11">
        <v>192078</v>
      </c>
      <c r="K11" s="11">
        <f t="shared" ref="K11:K18" si="3">+H11+I11+J11</f>
        <v>611941</v>
      </c>
      <c r="L11" s="11">
        <f t="shared" si="1"/>
        <v>398438</v>
      </c>
      <c r="M11" s="12">
        <f t="shared" si="2"/>
        <v>728563</v>
      </c>
      <c r="N11" s="121">
        <v>330329</v>
      </c>
      <c r="O11" s="140" t="s">
        <v>7</v>
      </c>
    </row>
    <row r="12" spans="1:16" ht="18" customHeight="1" x14ac:dyDescent="0.3">
      <c r="A12" s="32">
        <v>3</v>
      </c>
      <c r="B12" s="97" t="s">
        <v>491</v>
      </c>
      <c r="C12" s="200">
        <v>15</v>
      </c>
      <c r="D12" s="11">
        <v>109251</v>
      </c>
      <c r="E12" s="11">
        <v>483449</v>
      </c>
      <c r="F12" s="11">
        <v>0</v>
      </c>
      <c r="G12" s="11">
        <f t="shared" si="0"/>
        <v>592700</v>
      </c>
      <c r="H12" s="11">
        <v>23131</v>
      </c>
      <c r="I12" s="11">
        <v>15893</v>
      </c>
      <c r="J12" s="11">
        <v>9845</v>
      </c>
      <c r="K12" s="11">
        <f t="shared" si="3"/>
        <v>48869</v>
      </c>
      <c r="L12" s="11">
        <f t="shared" si="1"/>
        <v>86120</v>
      </c>
      <c r="M12" s="12">
        <f t="shared" si="2"/>
        <v>543831</v>
      </c>
      <c r="N12" s="121">
        <v>51584</v>
      </c>
    </row>
    <row r="13" spans="1:16" ht="18" customHeight="1" x14ac:dyDescent="0.3">
      <c r="A13" s="32">
        <v>4</v>
      </c>
      <c r="B13" s="97" t="s">
        <v>482</v>
      </c>
      <c r="C13" s="200">
        <v>10</v>
      </c>
      <c r="D13" s="11">
        <v>535292</v>
      </c>
      <c r="E13" s="11">
        <v>220292</v>
      </c>
      <c r="F13" s="11">
        <v>0</v>
      </c>
      <c r="G13" s="11">
        <f t="shared" si="0"/>
        <v>755584</v>
      </c>
      <c r="H13" s="11">
        <v>123061</v>
      </c>
      <c r="I13" s="11">
        <v>64841</v>
      </c>
      <c r="J13" s="11">
        <v>9241</v>
      </c>
      <c r="K13" s="11">
        <f t="shared" si="3"/>
        <v>197143</v>
      </c>
      <c r="L13" s="11">
        <f t="shared" si="1"/>
        <v>412231</v>
      </c>
      <c r="M13" s="12">
        <f t="shared" si="2"/>
        <v>558441</v>
      </c>
      <c r="N13" s="121">
        <v>454059</v>
      </c>
    </row>
    <row r="14" spans="1:16" ht="18" customHeight="1" x14ac:dyDescent="0.3">
      <c r="A14" s="32">
        <v>5</v>
      </c>
      <c r="B14" s="97" t="s">
        <v>483</v>
      </c>
      <c r="C14" s="200">
        <v>8</v>
      </c>
      <c r="D14" s="11">
        <v>7278480</v>
      </c>
      <c r="E14" s="11">
        <v>4302998</v>
      </c>
      <c r="F14" s="11">
        <v>0</v>
      </c>
      <c r="G14" s="11">
        <f t="shared" si="0"/>
        <v>11581478</v>
      </c>
      <c r="H14" s="11">
        <v>1588384</v>
      </c>
      <c r="I14" s="11">
        <v>1086269</v>
      </c>
      <c r="J14" s="11">
        <v>2620</v>
      </c>
      <c r="K14" s="11">
        <f t="shared" si="3"/>
        <v>2677273</v>
      </c>
      <c r="L14" s="11">
        <f t="shared" si="1"/>
        <v>5690096</v>
      </c>
      <c r="M14" s="12">
        <f t="shared" si="2"/>
        <v>8904205</v>
      </c>
      <c r="N14" s="121">
        <v>5348460</v>
      </c>
    </row>
    <row r="15" spans="1:16" ht="18" customHeight="1" x14ac:dyDescent="0.3">
      <c r="A15" s="32">
        <v>6</v>
      </c>
      <c r="B15" s="97" t="s">
        <v>484</v>
      </c>
      <c r="C15" s="200">
        <v>10</v>
      </c>
      <c r="D15" s="11">
        <v>276264</v>
      </c>
      <c r="E15" s="11">
        <v>1225832</v>
      </c>
      <c r="F15" s="11">
        <v>0</v>
      </c>
      <c r="G15" s="11">
        <f t="shared" si="0"/>
        <v>1502096</v>
      </c>
      <c r="H15" s="11">
        <v>60059</v>
      </c>
      <c r="I15" s="11">
        <v>58294</v>
      </c>
      <c r="J15" s="11">
        <v>111</v>
      </c>
      <c r="K15" s="11">
        <f t="shared" si="3"/>
        <v>118464</v>
      </c>
      <c r="L15" s="11">
        <f t="shared" si="1"/>
        <v>216205</v>
      </c>
      <c r="M15" s="12">
        <f t="shared" si="2"/>
        <v>1383632</v>
      </c>
      <c r="N15" s="121">
        <v>142140</v>
      </c>
    </row>
    <row r="16" spans="1:16" ht="18" customHeight="1" x14ac:dyDescent="0.3">
      <c r="A16" s="32">
        <v>7</v>
      </c>
      <c r="B16" s="97" t="s">
        <v>485</v>
      </c>
      <c r="C16" s="200">
        <v>5</v>
      </c>
      <c r="D16" s="11">
        <v>278735</v>
      </c>
      <c r="E16" s="11">
        <v>388805</v>
      </c>
      <c r="F16" s="11">
        <v>0</v>
      </c>
      <c r="G16" s="11">
        <f t="shared" si="0"/>
        <v>667540</v>
      </c>
      <c r="H16" s="11">
        <v>16058</v>
      </c>
      <c r="I16" s="11">
        <v>96588</v>
      </c>
      <c r="J16" s="11">
        <v>159</v>
      </c>
      <c r="K16" s="11">
        <f t="shared" si="3"/>
        <v>112805</v>
      </c>
      <c r="L16" s="11">
        <f t="shared" si="1"/>
        <v>262677</v>
      </c>
      <c r="M16" s="12">
        <f t="shared" si="2"/>
        <v>554735</v>
      </c>
      <c r="N16" s="121">
        <v>21495</v>
      </c>
      <c r="P16" s="140" t="s">
        <v>7</v>
      </c>
    </row>
    <row r="17" spans="1:16" ht="18" customHeight="1" x14ac:dyDescent="0.3">
      <c r="A17" s="32">
        <v>8</v>
      </c>
      <c r="B17" s="97" t="s">
        <v>486</v>
      </c>
      <c r="C17" s="200">
        <v>10</v>
      </c>
      <c r="D17" s="11">
        <v>668605</v>
      </c>
      <c r="E17" s="11">
        <v>1784361</v>
      </c>
      <c r="F17" s="11">
        <v>0</v>
      </c>
      <c r="G17" s="11">
        <f t="shared" si="0"/>
        <v>2452966</v>
      </c>
      <c r="H17" s="11">
        <v>14901</v>
      </c>
      <c r="I17" s="11">
        <v>110060</v>
      </c>
      <c r="J17" s="11">
        <v>175</v>
      </c>
      <c r="K17" s="11">
        <f t="shared" si="3"/>
        <v>125136</v>
      </c>
      <c r="L17" s="11">
        <f t="shared" si="1"/>
        <v>653704</v>
      </c>
      <c r="M17" s="12">
        <f t="shared" si="2"/>
        <v>2327830</v>
      </c>
      <c r="N17" s="121">
        <v>20443</v>
      </c>
    </row>
    <row r="18" spans="1:16" ht="18" customHeight="1" x14ac:dyDescent="0.3">
      <c r="A18" s="32">
        <v>9</v>
      </c>
      <c r="B18" s="97" t="s">
        <v>487</v>
      </c>
      <c r="C18" s="200">
        <v>5</v>
      </c>
      <c r="D18" s="11">
        <v>588301</v>
      </c>
      <c r="E18" s="11">
        <v>43479</v>
      </c>
      <c r="F18" s="11">
        <v>0</v>
      </c>
      <c r="G18" s="11">
        <f t="shared" si="0"/>
        <v>631780</v>
      </c>
      <c r="H18" s="11">
        <v>253861</v>
      </c>
      <c r="I18" s="11">
        <v>113682</v>
      </c>
      <c r="J18" s="11">
        <v>448</v>
      </c>
      <c r="K18" s="11">
        <f t="shared" si="3"/>
        <v>367991</v>
      </c>
      <c r="L18" s="11">
        <f t="shared" si="1"/>
        <v>334440</v>
      </c>
      <c r="M18" s="12">
        <f t="shared" si="2"/>
        <v>263789</v>
      </c>
      <c r="N18" s="121">
        <v>380738</v>
      </c>
      <c r="P18" s="140" t="s">
        <v>7</v>
      </c>
    </row>
    <row r="19" spans="1:16" ht="18" customHeight="1" thickBot="1" x14ac:dyDescent="0.35">
      <c r="A19" s="32"/>
      <c r="B19" s="201" t="s">
        <v>129</v>
      </c>
      <c r="C19" s="201"/>
      <c r="D19" s="13">
        <f t="shared" ref="D19:M19" si="4">SUM(D10:D18)</f>
        <v>11324070</v>
      </c>
      <c r="E19" s="13">
        <f t="shared" si="4"/>
        <v>9160465</v>
      </c>
      <c r="F19" s="13">
        <f t="shared" si="4"/>
        <v>0</v>
      </c>
      <c r="G19" s="13">
        <f t="shared" si="4"/>
        <v>20484535</v>
      </c>
      <c r="H19" s="13">
        <f t="shared" si="4"/>
        <v>2310272</v>
      </c>
      <c r="I19" s="13">
        <f t="shared" si="4"/>
        <v>1734673</v>
      </c>
      <c r="J19" s="13">
        <f t="shared" si="4"/>
        <v>214677</v>
      </c>
      <c r="K19" s="13">
        <f t="shared" si="4"/>
        <v>4259622</v>
      </c>
      <c r="L19" s="13">
        <f t="shared" si="4"/>
        <v>9013798</v>
      </c>
      <c r="M19" s="19">
        <f t="shared" si="4"/>
        <v>16224913</v>
      </c>
      <c r="N19" s="137">
        <f>SUM(N10:N18)</f>
        <v>7709135</v>
      </c>
      <c r="O19" s="131" t="s">
        <v>7</v>
      </c>
    </row>
    <row r="20" spans="1:16" ht="18" customHeight="1" thickTop="1" x14ac:dyDescent="0.3">
      <c r="A20" s="32" t="s">
        <v>7</v>
      </c>
      <c r="B20" s="101" t="s">
        <v>126</v>
      </c>
      <c r="C20" s="202"/>
      <c r="D20" s="11"/>
      <c r="E20" s="11"/>
      <c r="F20" s="11"/>
      <c r="G20" s="11"/>
      <c r="H20" s="11"/>
      <c r="I20" s="11"/>
      <c r="J20" s="11"/>
      <c r="K20" s="11"/>
      <c r="L20" s="11"/>
      <c r="M20" s="12"/>
      <c r="N20" s="121"/>
    </row>
    <row r="21" spans="1:16" ht="18" customHeight="1" x14ac:dyDescent="0.3">
      <c r="A21" s="32">
        <v>1</v>
      </c>
      <c r="B21" s="97" t="s">
        <v>488</v>
      </c>
      <c r="C21" s="202">
        <v>3</v>
      </c>
      <c r="D21" s="11">
        <v>595280</v>
      </c>
      <c r="E21" s="11">
        <v>0</v>
      </c>
      <c r="F21" s="11">
        <v>0</v>
      </c>
      <c r="G21" s="11">
        <f>+D21+E21-F21</f>
        <v>595280</v>
      </c>
      <c r="H21" s="11">
        <f>+[1]FA!$I$17</f>
        <v>419374</v>
      </c>
      <c r="I21" s="11">
        <v>78337</v>
      </c>
      <c r="J21" s="11">
        <v>-30845</v>
      </c>
      <c r="K21" s="11">
        <f>+H21+I21+J21</f>
        <v>466866</v>
      </c>
      <c r="L21" s="11">
        <f>+D21-H21</f>
        <v>175906</v>
      </c>
      <c r="M21" s="12">
        <f>+G21-K21</f>
        <v>128414</v>
      </c>
      <c r="N21" s="121">
        <v>0</v>
      </c>
    </row>
    <row r="22" spans="1:16" ht="18" customHeight="1" thickBot="1" x14ac:dyDescent="0.35">
      <c r="A22" s="32"/>
      <c r="B22" s="201" t="s">
        <v>130</v>
      </c>
      <c r="C22" s="203"/>
      <c r="D22" s="13">
        <f t="shared" ref="D22:M22" si="5">SUM(D21:D21)</f>
        <v>595280</v>
      </c>
      <c r="E22" s="13">
        <f t="shared" si="5"/>
        <v>0</v>
      </c>
      <c r="F22" s="13">
        <f t="shared" si="5"/>
        <v>0</v>
      </c>
      <c r="G22" s="13">
        <f t="shared" si="5"/>
        <v>595280</v>
      </c>
      <c r="H22" s="13">
        <f t="shared" si="5"/>
        <v>419374</v>
      </c>
      <c r="I22" s="13">
        <f t="shared" si="5"/>
        <v>78337</v>
      </c>
      <c r="J22" s="13">
        <f t="shared" si="5"/>
        <v>-30845</v>
      </c>
      <c r="K22" s="13">
        <f t="shared" si="5"/>
        <v>466866</v>
      </c>
      <c r="L22" s="13">
        <f t="shared" si="5"/>
        <v>175906</v>
      </c>
      <c r="M22" s="19">
        <f t="shared" si="5"/>
        <v>128414</v>
      </c>
      <c r="N22" s="137">
        <f>SUM(N21)</f>
        <v>0</v>
      </c>
    </row>
    <row r="23" spans="1:16" ht="18" customHeight="1" thickTop="1" x14ac:dyDescent="0.3">
      <c r="A23" s="32" t="s">
        <v>7</v>
      </c>
      <c r="B23" s="101" t="s">
        <v>127</v>
      </c>
      <c r="C23" s="202"/>
      <c r="D23" s="11"/>
      <c r="E23" s="11"/>
      <c r="F23" s="11"/>
      <c r="G23" s="11"/>
      <c r="H23" s="11"/>
      <c r="I23" s="11"/>
      <c r="J23" s="11"/>
      <c r="K23" s="11"/>
      <c r="L23" s="11"/>
      <c r="M23" s="12"/>
      <c r="N23" s="121"/>
    </row>
    <row r="24" spans="1:16" ht="18" customHeight="1" x14ac:dyDescent="0.3">
      <c r="A24" s="32" t="s">
        <v>7</v>
      </c>
      <c r="B24" s="97" t="s">
        <v>7</v>
      </c>
      <c r="C24" s="202" t="s">
        <v>7</v>
      </c>
      <c r="D24" s="11">
        <v>0</v>
      </c>
      <c r="E24" s="11">
        <v>0</v>
      </c>
      <c r="F24" s="11">
        <v>0</v>
      </c>
      <c r="G24" s="11">
        <f>+D24+E24-F24</f>
        <v>0</v>
      </c>
      <c r="H24" s="11">
        <v>0</v>
      </c>
      <c r="I24" s="11">
        <v>0</v>
      </c>
      <c r="J24" s="11">
        <v>0</v>
      </c>
      <c r="K24" s="11">
        <f>+H24+I24</f>
        <v>0</v>
      </c>
      <c r="L24" s="11">
        <f>+D24-H24</f>
        <v>0</v>
      </c>
      <c r="M24" s="12">
        <f>+G24-K24</f>
        <v>0</v>
      </c>
      <c r="N24" s="121">
        <v>0</v>
      </c>
    </row>
    <row r="25" spans="1:16" ht="18" customHeight="1" thickBot="1" x14ac:dyDescent="0.35">
      <c r="A25" s="32" t="s">
        <v>7</v>
      </c>
      <c r="B25" s="201" t="s">
        <v>131</v>
      </c>
      <c r="C25" s="203"/>
      <c r="D25" s="13">
        <f t="shared" ref="D25:M25" si="6">SUM(D24:D24)</f>
        <v>0</v>
      </c>
      <c r="E25" s="13">
        <f t="shared" si="6"/>
        <v>0</v>
      </c>
      <c r="F25" s="13">
        <f t="shared" si="6"/>
        <v>0</v>
      </c>
      <c r="G25" s="13">
        <f t="shared" si="6"/>
        <v>0</v>
      </c>
      <c r="H25" s="13">
        <f t="shared" si="6"/>
        <v>0</v>
      </c>
      <c r="I25" s="13">
        <f t="shared" si="6"/>
        <v>0</v>
      </c>
      <c r="J25" s="13">
        <f t="shared" si="6"/>
        <v>0</v>
      </c>
      <c r="K25" s="13">
        <f t="shared" si="6"/>
        <v>0</v>
      </c>
      <c r="L25" s="13">
        <f t="shared" si="6"/>
        <v>0</v>
      </c>
      <c r="M25" s="19">
        <f t="shared" si="6"/>
        <v>0</v>
      </c>
      <c r="N25" s="137">
        <f>SUM(N24)</f>
        <v>0</v>
      </c>
    </row>
    <row r="26" spans="1:16" ht="18" customHeight="1" thickTop="1" x14ac:dyDescent="0.3">
      <c r="A26" s="32"/>
      <c r="B26" s="98"/>
      <c r="C26" s="202"/>
      <c r="D26" s="11"/>
      <c r="E26" s="11"/>
      <c r="F26" s="11"/>
      <c r="G26" s="11"/>
      <c r="H26" s="11"/>
      <c r="I26" s="11"/>
      <c r="J26" s="11"/>
      <c r="K26" s="11"/>
      <c r="L26" s="11"/>
      <c r="M26" s="12"/>
      <c r="N26" s="121"/>
    </row>
    <row r="27" spans="1:16" ht="18" customHeight="1" thickBot="1" x14ac:dyDescent="0.35">
      <c r="A27" s="72" t="s">
        <v>7</v>
      </c>
      <c r="B27" s="329" t="s">
        <v>1137</v>
      </c>
      <c r="C27" s="138"/>
      <c r="D27" s="20">
        <f t="shared" ref="D27:N27" si="7">+D19+D22+D25</f>
        <v>11919350</v>
      </c>
      <c r="E27" s="20">
        <f t="shared" si="7"/>
        <v>9160465</v>
      </c>
      <c r="F27" s="20">
        <f t="shared" si="7"/>
        <v>0</v>
      </c>
      <c r="G27" s="20">
        <f t="shared" si="7"/>
        <v>21079815</v>
      </c>
      <c r="H27" s="20">
        <f t="shared" si="7"/>
        <v>2729646</v>
      </c>
      <c r="I27" s="20">
        <f t="shared" si="7"/>
        <v>1813010</v>
      </c>
      <c r="J27" s="20">
        <f>+J19+J22+J25</f>
        <v>183832</v>
      </c>
      <c r="K27" s="20">
        <f t="shared" si="7"/>
        <v>4726488</v>
      </c>
      <c r="L27" s="20">
        <f t="shared" si="7"/>
        <v>9189704</v>
      </c>
      <c r="M27" s="21">
        <f t="shared" si="7"/>
        <v>16353327</v>
      </c>
      <c r="N27" s="139">
        <f t="shared" si="7"/>
        <v>7709135</v>
      </c>
    </row>
    <row r="28" spans="1:16" ht="16.95" customHeight="1" x14ac:dyDescent="0.3">
      <c r="E28" s="140" t="s">
        <v>7</v>
      </c>
      <c r="L28" s="140" t="s">
        <v>7</v>
      </c>
      <c r="M28" s="140" t="s">
        <v>7</v>
      </c>
      <c r="N28" s="140" t="s">
        <v>7</v>
      </c>
    </row>
    <row r="29" spans="1:16" ht="16.95" customHeight="1" x14ac:dyDescent="0.3">
      <c r="A29" s="80" t="s">
        <v>7</v>
      </c>
      <c r="E29" s="131" t="s">
        <v>7</v>
      </c>
      <c r="L29" s="140" t="s">
        <v>7</v>
      </c>
    </row>
    <row r="30" spans="1:16" ht="16.95" customHeight="1" x14ac:dyDescent="0.3">
      <c r="A30" s="81" t="s">
        <v>7</v>
      </c>
      <c r="B30" s="81" t="s">
        <v>7</v>
      </c>
      <c r="H30" s="140" t="s">
        <v>7</v>
      </c>
      <c r="J30" s="140" t="s">
        <v>7</v>
      </c>
      <c r="K30" s="140" t="s">
        <v>7</v>
      </c>
    </row>
    <row r="31" spans="1:16" ht="16.95" customHeight="1" x14ac:dyDescent="0.3">
      <c r="A31" s="81" t="s">
        <v>7</v>
      </c>
      <c r="B31" s="81" t="s">
        <v>7</v>
      </c>
      <c r="L31" s="140"/>
      <c r="M31" s="140"/>
    </row>
    <row r="32" spans="1:16" ht="16.95" customHeight="1" x14ac:dyDescent="0.3">
      <c r="A32" s="81" t="s">
        <v>7</v>
      </c>
    </row>
  </sheetData>
  <sheetProtection sheet="1" objects="1" scenarios="1"/>
  <mergeCells count="9">
    <mergeCell ref="D6:G6"/>
    <mergeCell ref="L6:M6"/>
    <mergeCell ref="H6:K6"/>
    <mergeCell ref="A1:M1"/>
    <mergeCell ref="A2:M2"/>
    <mergeCell ref="A4:M4"/>
    <mergeCell ref="A6:A7"/>
    <mergeCell ref="B6:B7"/>
    <mergeCell ref="C6:C7"/>
  </mergeCells>
  <pageMargins left="0.39370078740157483" right="0.39370078740157483" top="0.78740157480314965" bottom="0.78740157480314965" header="0" footer="0"/>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42"/>
  <sheetViews>
    <sheetView showGridLines="0" view="pageBreakPreview" topLeftCell="A88" zoomScaleNormal="100" zoomScaleSheetLayoutView="100" workbookViewId="0">
      <selection activeCell="F104" sqref="F104:G104"/>
    </sheetView>
  </sheetViews>
  <sheetFormatPr defaultColWidth="9.109375" defaultRowHeight="17.399999999999999" customHeight="1" x14ac:dyDescent="0.3"/>
  <cols>
    <col min="1" max="1" width="6.6640625" style="31" customWidth="1"/>
    <col min="2" max="3" width="12.6640625" style="31" customWidth="1"/>
    <col min="4" max="4" width="14.6640625" style="31" bestFit="1" customWidth="1"/>
    <col min="5" max="5" width="11.33203125" style="31" bestFit="1" customWidth="1"/>
    <col min="6" max="6" width="13.6640625" style="31" bestFit="1" customWidth="1"/>
    <col min="7" max="7" width="10.33203125" style="43" bestFit="1" customWidth="1"/>
    <col min="8" max="8" width="9.109375" style="43" bestFit="1" customWidth="1"/>
    <col min="9" max="9" width="14.6640625" style="43" bestFit="1" customWidth="1"/>
    <col min="10" max="10" width="16.6640625" style="31" bestFit="1" customWidth="1"/>
    <col min="11" max="11" width="17.44140625" style="31" bestFit="1" customWidth="1"/>
    <col min="12" max="12" width="43.109375" style="31" bestFit="1" customWidth="1"/>
    <col min="13" max="13" width="15.5546875" style="31" bestFit="1" customWidth="1"/>
    <col min="14" max="14" width="13.88671875" style="31" bestFit="1" customWidth="1"/>
    <col min="15" max="16384" width="9.109375" style="31"/>
  </cols>
  <sheetData>
    <row r="1" spans="1:13" ht="17.399999999999999" customHeight="1" x14ac:dyDescent="0.3">
      <c r="A1" s="365" t="str">
        <f>+'Notes - '!A1:G1</f>
        <v>PROGEN RENEWABLES LIMITED</v>
      </c>
      <c r="B1" s="365"/>
      <c r="C1" s="365"/>
      <c r="D1" s="365"/>
      <c r="E1" s="365"/>
      <c r="F1" s="365"/>
      <c r="G1" s="365"/>
      <c r="H1" s="365"/>
      <c r="I1" s="365"/>
    </row>
    <row r="2" spans="1:13" ht="17.399999999999999" customHeight="1" thickBot="1" x14ac:dyDescent="0.35">
      <c r="A2" s="426" t="str">
        <f>+'Notes - '!A2:G2</f>
        <v>Notes Forming Part of the Financial Statements for the year ended 31th March 2025</v>
      </c>
      <c r="B2" s="426"/>
      <c r="C2" s="426"/>
      <c r="D2" s="426"/>
      <c r="E2" s="426"/>
      <c r="F2" s="426"/>
      <c r="G2" s="426"/>
      <c r="H2" s="426"/>
      <c r="I2" s="426"/>
    </row>
    <row r="3" spans="1:13" ht="17.399999999999999" customHeight="1" x14ac:dyDescent="0.3">
      <c r="A3" s="363"/>
      <c r="B3" s="363"/>
      <c r="C3" s="363"/>
      <c r="D3" s="363"/>
      <c r="E3" s="363"/>
      <c r="F3" s="363"/>
      <c r="G3" s="363"/>
      <c r="H3" s="363"/>
      <c r="I3" s="363"/>
    </row>
    <row r="4" spans="1:13" ht="17.399999999999999" customHeight="1" thickBot="1" x14ac:dyDescent="0.35">
      <c r="A4" s="364" t="s">
        <v>1074</v>
      </c>
      <c r="B4" s="364"/>
      <c r="C4" s="364"/>
      <c r="D4" s="364"/>
      <c r="E4" s="364"/>
      <c r="F4" s="364"/>
      <c r="G4" s="364"/>
      <c r="H4" s="364"/>
      <c r="I4" s="364"/>
    </row>
    <row r="5" spans="1:13" ht="33" customHeight="1" x14ac:dyDescent="0.3">
      <c r="A5" s="41" t="s">
        <v>60</v>
      </c>
      <c r="B5" s="637" t="s">
        <v>0</v>
      </c>
      <c r="C5" s="638"/>
      <c r="D5" s="638"/>
      <c r="E5" s="639"/>
      <c r="F5" s="643" t="s">
        <v>342</v>
      </c>
      <c r="G5" s="651"/>
      <c r="H5" s="643" t="s">
        <v>27</v>
      </c>
      <c r="I5" s="644"/>
      <c r="J5" s="122" t="s">
        <v>470</v>
      </c>
    </row>
    <row r="6" spans="1:13" ht="17.399999999999999" customHeight="1" x14ac:dyDescent="0.3">
      <c r="A6" s="257">
        <v>1</v>
      </c>
      <c r="B6" s="648" t="s">
        <v>943</v>
      </c>
      <c r="C6" s="649"/>
      <c r="D6" s="649"/>
      <c r="E6" s="650"/>
      <c r="F6" s="628"/>
      <c r="G6" s="629"/>
      <c r="H6" s="534"/>
      <c r="I6" s="549"/>
      <c r="J6" s="121"/>
    </row>
    <row r="7" spans="1:13" ht="17.399999999999999" customHeight="1" x14ac:dyDescent="0.3">
      <c r="A7" s="257"/>
      <c r="B7" s="620" t="s">
        <v>942</v>
      </c>
      <c r="C7" s="621"/>
      <c r="D7" s="621"/>
      <c r="E7" s="622"/>
      <c r="F7" s="534">
        <v>0</v>
      </c>
      <c r="G7" s="535"/>
      <c r="H7" s="534">
        <v>740000</v>
      </c>
      <c r="I7" s="549"/>
      <c r="J7" s="121">
        <v>740000</v>
      </c>
      <c r="M7" s="40"/>
    </row>
    <row r="8" spans="1:13" ht="17.399999999999999" customHeight="1" x14ac:dyDescent="0.3">
      <c r="A8" s="257"/>
      <c r="B8" s="620" t="s">
        <v>956</v>
      </c>
      <c r="C8" s="621"/>
      <c r="D8" s="621"/>
      <c r="E8" s="622"/>
      <c r="F8" s="534">
        <v>109000</v>
      </c>
      <c r="G8" s="535"/>
      <c r="H8" s="534">
        <v>0</v>
      </c>
      <c r="I8" s="549"/>
      <c r="J8" s="121">
        <v>0</v>
      </c>
      <c r="M8" s="40"/>
    </row>
    <row r="9" spans="1:13" ht="17.399999999999999" customHeight="1" x14ac:dyDescent="0.3">
      <c r="A9" s="198" t="s">
        <v>7</v>
      </c>
      <c r="B9" s="631" t="s">
        <v>7</v>
      </c>
      <c r="C9" s="632"/>
      <c r="D9" s="632"/>
      <c r="E9" s="633"/>
      <c r="F9" s="623" t="s">
        <v>7</v>
      </c>
      <c r="G9" s="630"/>
      <c r="H9" s="623" t="s">
        <v>7</v>
      </c>
      <c r="I9" s="624"/>
      <c r="J9" s="121"/>
      <c r="M9" s="40"/>
    </row>
    <row r="10" spans="1:13" ht="17.399999999999999" customHeight="1" thickBot="1" x14ac:dyDescent="0.35">
      <c r="A10" s="33"/>
      <c r="B10" s="634" t="s">
        <v>18</v>
      </c>
      <c r="C10" s="635"/>
      <c r="D10" s="635"/>
      <c r="E10" s="636"/>
      <c r="F10" s="625">
        <f>SUM(F6:G9)</f>
        <v>109000</v>
      </c>
      <c r="G10" s="627"/>
      <c r="H10" s="625">
        <f>SUM(H6:I9)</f>
        <v>740000</v>
      </c>
      <c r="I10" s="626"/>
      <c r="J10" s="242">
        <f>SUM(J6:J9)</f>
        <v>740000</v>
      </c>
      <c r="M10" s="40"/>
    </row>
    <row r="11" spans="1:13" ht="17.399999999999999" customHeight="1" x14ac:dyDescent="0.3">
      <c r="A11" s="578"/>
      <c r="B11" s="578"/>
      <c r="C11" s="578"/>
      <c r="D11" s="578"/>
      <c r="E11" s="578"/>
      <c r="F11" s="578"/>
      <c r="G11" s="578"/>
      <c r="H11" s="578"/>
      <c r="I11" s="578"/>
    </row>
    <row r="12" spans="1:13" ht="17.399999999999999" customHeight="1" thickBot="1" x14ac:dyDescent="0.35">
      <c r="A12" s="364" t="s">
        <v>1075</v>
      </c>
      <c r="B12" s="364"/>
      <c r="C12" s="364"/>
      <c r="D12" s="364"/>
      <c r="E12" s="364"/>
      <c r="F12" s="364"/>
      <c r="G12" s="364"/>
      <c r="H12" s="364"/>
      <c r="I12" s="364"/>
    </row>
    <row r="13" spans="1:13" ht="33" customHeight="1" x14ac:dyDescent="0.3">
      <c r="A13" s="41" t="s">
        <v>60</v>
      </c>
      <c r="B13" s="637" t="s">
        <v>0</v>
      </c>
      <c r="C13" s="638"/>
      <c r="D13" s="638"/>
      <c r="E13" s="639"/>
      <c r="F13" s="643" t="s">
        <v>342</v>
      </c>
      <c r="G13" s="651"/>
      <c r="H13" s="643" t="s">
        <v>27</v>
      </c>
      <c r="I13" s="644"/>
      <c r="J13" s="122" t="s">
        <v>476</v>
      </c>
    </row>
    <row r="14" spans="1:13" ht="17.399999999999999" customHeight="1" x14ac:dyDescent="0.3">
      <c r="A14" s="32">
        <v>1</v>
      </c>
      <c r="B14" s="640" t="s">
        <v>361</v>
      </c>
      <c r="C14" s="641"/>
      <c r="D14" s="641"/>
      <c r="E14" s="642"/>
      <c r="F14" s="496" t="s">
        <v>7</v>
      </c>
      <c r="G14" s="497"/>
      <c r="H14" s="496" t="s">
        <v>7</v>
      </c>
      <c r="I14" s="523"/>
      <c r="J14" s="121"/>
    </row>
    <row r="15" spans="1:13" ht="17.399999999999999" customHeight="1" x14ac:dyDescent="0.3">
      <c r="A15" s="32"/>
      <c r="B15" s="620" t="s">
        <v>450</v>
      </c>
      <c r="C15" s="621"/>
      <c r="D15" s="621"/>
      <c r="E15" s="622"/>
      <c r="F15" s="460">
        <v>21500000</v>
      </c>
      <c r="G15" s="492"/>
      <c r="H15" s="460">
        <v>10000000</v>
      </c>
      <c r="I15" s="461"/>
      <c r="J15" s="121">
        <v>0</v>
      </c>
    </row>
    <row r="16" spans="1:13" ht="17.399999999999999" customHeight="1" x14ac:dyDescent="0.3">
      <c r="A16" s="32">
        <v>2</v>
      </c>
      <c r="B16" s="620" t="s">
        <v>1142</v>
      </c>
      <c r="C16" s="621"/>
      <c r="D16" s="621"/>
      <c r="E16" s="622"/>
      <c r="F16" s="460">
        <v>25500000</v>
      </c>
      <c r="G16" s="492"/>
      <c r="H16" s="460">
        <v>0</v>
      </c>
      <c r="I16" s="461"/>
      <c r="J16" s="121"/>
    </row>
    <row r="17" spans="1:12" ht="17.399999999999999" customHeight="1" x14ac:dyDescent="0.3">
      <c r="A17" s="198" t="s">
        <v>7</v>
      </c>
      <c r="B17" s="631" t="s">
        <v>7</v>
      </c>
      <c r="C17" s="632"/>
      <c r="D17" s="632"/>
      <c r="E17" s="633"/>
      <c r="F17" s="530" t="s">
        <v>7</v>
      </c>
      <c r="G17" s="543"/>
      <c r="H17" s="530" t="s">
        <v>7</v>
      </c>
      <c r="I17" s="531"/>
      <c r="J17" s="121"/>
    </row>
    <row r="18" spans="1:12" ht="17.399999999999999" customHeight="1" thickBot="1" x14ac:dyDescent="0.35">
      <c r="A18" s="33"/>
      <c r="B18" s="634" t="s">
        <v>18</v>
      </c>
      <c r="C18" s="635"/>
      <c r="D18" s="635"/>
      <c r="E18" s="636"/>
      <c r="F18" s="498">
        <f>SUM(F14:G17)</f>
        <v>47000000</v>
      </c>
      <c r="G18" s="506"/>
      <c r="H18" s="498">
        <f>SUM(H14:I17)</f>
        <v>10000000</v>
      </c>
      <c r="I18" s="499"/>
      <c r="J18" s="242">
        <f>SUM(J14:J17)</f>
        <v>0</v>
      </c>
    </row>
    <row r="19" spans="1:12" ht="17.399999999999999" customHeight="1" x14ac:dyDescent="0.3">
      <c r="A19" s="578"/>
      <c r="B19" s="578"/>
      <c r="C19" s="578"/>
      <c r="D19" s="578"/>
      <c r="E19" s="578"/>
      <c r="F19" s="578"/>
      <c r="G19" s="578"/>
      <c r="H19" s="578"/>
      <c r="I19" s="578"/>
    </row>
    <row r="20" spans="1:12" ht="17.399999999999999" customHeight="1" thickBot="1" x14ac:dyDescent="0.35">
      <c r="A20" s="364" t="s">
        <v>1076</v>
      </c>
      <c r="B20" s="364"/>
      <c r="C20" s="364"/>
      <c r="D20" s="364"/>
      <c r="E20" s="364"/>
      <c r="F20" s="364"/>
      <c r="G20" s="364"/>
      <c r="H20" s="364"/>
      <c r="I20" s="364"/>
    </row>
    <row r="21" spans="1:12" ht="33" customHeight="1" x14ac:dyDescent="0.3">
      <c r="A21" s="41" t="s">
        <v>60</v>
      </c>
      <c r="B21" s="637" t="s">
        <v>0</v>
      </c>
      <c r="C21" s="638"/>
      <c r="D21" s="638"/>
      <c r="E21" s="639"/>
      <c r="F21" s="643" t="s">
        <v>342</v>
      </c>
      <c r="G21" s="651"/>
      <c r="H21" s="643" t="s">
        <v>27</v>
      </c>
      <c r="I21" s="644"/>
      <c r="J21" s="122" t="s">
        <v>476</v>
      </c>
    </row>
    <row r="22" spans="1:12" ht="17.399999999999999" customHeight="1" x14ac:dyDescent="0.3">
      <c r="A22" s="32">
        <v>1</v>
      </c>
      <c r="B22" s="645" t="s">
        <v>362</v>
      </c>
      <c r="C22" s="646"/>
      <c r="D22" s="646"/>
      <c r="E22" s="647"/>
      <c r="F22" s="496">
        <f>+'Notes-P&amp;L'!C40</f>
        <v>1141959</v>
      </c>
      <c r="G22" s="497"/>
      <c r="H22" s="496">
        <f>+'Notes-P&amp;L'!D40</f>
        <v>112014200</v>
      </c>
      <c r="I22" s="523"/>
      <c r="J22" s="121">
        <f>+'Notes-P&amp;L'!E40</f>
        <v>257149228</v>
      </c>
    </row>
    <row r="23" spans="1:12" ht="17.399999999999999" customHeight="1" x14ac:dyDescent="0.3">
      <c r="A23" s="32">
        <v>2</v>
      </c>
      <c r="B23" s="620" t="s">
        <v>1000</v>
      </c>
      <c r="C23" s="621"/>
      <c r="D23" s="621"/>
      <c r="E23" s="622"/>
      <c r="F23" s="460">
        <f>+'Notes-P&amp;L'!C41</f>
        <v>37184026</v>
      </c>
      <c r="G23" s="492"/>
      <c r="H23" s="460">
        <f>+'Notes-P&amp;L'!D41</f>
        <v>5000000</v>
      </c>
      <c r="I23" s="461"/>
      <c r="J23" s="121">
        <f>+'Notes-P&amp;L'!E41</f>
        <v>0</v>
      </c>
    </row>
    <row r="24" spans="1:12" ht="17.399999999999999" customHeight="1" x14ac:dyDescent="0.3">
      <c r="A24" s="198"/>
      <c r="B24" s="607"/>
      <c r="C24" s="652"/>
      <c r="D24" s="652"/>
      <c r="E24" s="608"/>
      <c r="F24" s="656"/>
      <c r="G24" s="657"/>
      <c r="H24" s="530"/>
      <c r="I24" s="531"/>
      <c r="J24" s="121"/>
    </row>
    <row r="25" spans="1:12" ht="17.399999999999999" customHeight="1" thickBot="1" x14ac:dyDescent="0.35">
      <c r="A25" s="33"/>
      <c r="B25" s="634" t="s">
        <v>18</v>
      </c>
      <c r="C25" s="635"/>
      <c r="D25" s="635"/>
      <c r="E25" s="636"/>
      <c r="F25" s="498">
        <f>SUM(F22:G24)</f>
        <v>38325985</v>
      </c>
      <c r="G25" s="506"/>
      <c r="H25" s="498">
        <f>SUM(H22:I24)</f>
        <v>117014200</v>
      </c>
      <c r="I25" s="499"/>
      <c r="J25" s="242">
        <f>SUM(J22:J24)</f>
        <v>257149228</v>
      </c>
    </row>
    <row r="26" spans="1:12" ht="17.399999999999999" customHeight="1" x14ac:dyDescent="0.3">
      <c r="A26" s="363"/>
      <c r="B26" s="363"/>
      <c r="C26" s="363"/>
      <c r="D26" s="363"/>
      <c r="E26" s="363"/>
      <c r="F26" s="363"/>
      <c r="G26" s="363"/>
      <c r="H26" s="363"/>
      <c r="I26" s="363"/>
    </row>
    <row r="27" spans="1:12" ht="17.399999999999999" customHeight="1" thickBot="1" x14ac:dyDescent="0.35">
      <c r="A27" s="649" t="s">
        <v>1077</v>
      </c>
      <c r="B27" s="649"/>
      <c r="C27" s="649"/>
      <c r="D27" s="649"/>
      <c r="E27" s="649"/>
      <c r="F27" s="649"/>
      <c r="G27" s="649"/>
      <c r="H27" s="649"/>
      <c r="I27" s="649"/>
    </row>
    <row r="28" spans="1:12" ht="33" customHeight="1" x14ac:dyDescent="0.3">
      <c r="A28" s="35" t="s">
        <v>60</v>
      </c>
      <c r="B28" s="637" t="s">
        <v>0</v>
      </c>
      <c r="C28" s="638"/>
      <c r="D28" s="638"/>
      <c r="E28" s="639"/>
      <c r="F28" s="643" t="s">
        <v>342</v>
      </c>
      <c r="G28" s="651"/>
      <c r="H28" s="643" t="s">
        <v>27</v>
      </c>
      <c r="I28" s="644"/>
      <c r="J28" s="122" t="s">
        <v>476</v>
      </c>
    </row>
    <row r="29" spans="1:12" ht="17.399999999999999" customHeight="1" x14ac:dyDescent="0.3">
      <c r="A29" s="32">
        <v>1</v>
      </c>
      <c r="B29" s="645" t="s">
        <v>1048</v>
      </c>
      <c r="C29" s="646"/>
      <c r="D29" s="646"/>
      <c r="E29" s="647"/>
      <c r="F29" s="496">
        <f>+'SC &amp; SD'!R68</f>
        <v>700374795</v>
      </c>
      <c r="G29" s="497"/>
      <c r="H29" s="496">
        <f>+'SC &amp; SD'!S68</f>
        <v>246523964</v>
      </c>
      <c r="I29" s="523"/>
      <c r="J29" s="121">
        <v>77497655</v>
      </c>
      <c r="L29" s="43" t="s">
        <v>7</v>
      </c>
    </row>
    <row r="30" spans="1:12" ht="17.399999999999999" customHeight="1" x14ac:dyDescent="0.3">
      <c r="A30" s="32">
        <v>2</v>
      </c>
      <c r="B30" s="620" t="s">
        <v>363</v>
      </c>
      <c r="C30" s="621"/>
      <c r="D30" s="621"/>
      <c r="E30" s="622"/>
      <c r="F30" s="460">
        <v>0</v>
      </c>
      <c r="G30" s="492"/>
      <c r="H30" s="460">
        <v>0</v>
      </c>
      <c r="I30" s="461"/>
      <c r="J30" s="121">
        <v>0</v>
      </c>
      <c r="L30" s="258" t="s">
        <v>7</v>
      </c>
    </row>
    <row r="31" spans="1:12" ht="17.399999999999999" customHeight="1" x14ac:dyDescent="0.3">
      <c r="A31" s="32">
        <v>3</v>
      </c>
      <c r="B31" s="620" t="s">
        <v>364</v>
      </c>
      <c r="C31" s="621"/>
      <c r="D31" s="621"/>
      <c r="E31" s="622"/>
      <c r="F31" s="530">
        <v>0</v>
      </c>
      <c r="G31" s="543"/>
      <c r="H31" s="530">
        <v>0</v>
      </c>
      <c r="I31" s="531"/>
      <c r="J31" s="243">
        <v>0</v>
      </c>
    </row>
    <row r="32" spans="1:12" ht="17.399999999999999" customHeight="1" x14ac:dyDescent="0.3">
      <c r="A32" s="32"/>
      <c r="B32" s="648" t="s">
        <v>71</v>
      </c>
      <c r="C32" s="649"/>
      <c r="D32" s="649"/>
      <c r="E32" s="650"/>
      <c r="F32" s="666">
        <f>SUM(F29:G31)</f>
        <v>700374795</v>
      </c>
      <c r="G32" s="667"/>
      <c r="H32" s="669">
        <f>SUM(H29:I31)</f>
        <v>246523964</v>
      </c>
      <c r="I32" s="670"/>
      <c r="J32" s="244">
        <f>SUM(J29:J31)</f>
        <v>77497655</v>
      </c>
    </row>
    <row r="33" spans="1:10" ht="17.399999999999999" customHeight="1" x14ac:dyDescent="0.3">
      <c r="A33" s="32"/>
      <c r="B33" s="620" t="s">
        <v>72</v>
      </c>
      <c r="C33" s="621"/>
      <c r="D33" s="621"/>
      <c r="E33" s="622"/>
      <c r="F33" s="460">
        <v>0</v>
      </c>
      <c r="G33" s="492"/>
      <c r="H33" s="460">
        <v>0</v>
      </c>
      <c r="I33" s="461"/>
      <c r="J33" s="121">
        <v>0</v>
      </c>
    </row>
    <row r="34" spans="1:10" ht="17.399999999999999" customHeight="1" x14ac:dyDescent="0.3">
      <c r="A34" s="198"/>
      <c r="B34" s="478"/>
      <c r="C34" s="668"/>
      <c r="D34" s="668"/>
      <c r="E34" s="479"/>
      <c r="F34" s="656"/>
      <c r="G34" s="657"/>
      <c r="H34" s="530"/>
      <c r="I34" s="531"/>
      <c r="J34" s="121"/>
    </row>
    <row r="35" spans="1:10" ht="17.399999999999999" customHeight="1" thickBot="1" x14ac:dyDescent="0.35">
      <c r="A35" s="33"/>
      <c r="B35" s="634" t="s">
        <v>18</v>
      </c>
      <c r="C35" s="635"/>
      <c r="D35" s="635"/>
      <c r="E35" s="636"/>
      <c r="F35" s="498">
        <f>SUM(F32:G34)</f>
        <v>700374795</v>
      </c>
      <c r="G35" s="506"/>
      <c r="H35" s="498">
        <f>SUM(H32:I34)</f>
        <v>246523964</v>
      </c>
      <c r="I35" s="499"/>
      <c r="J35" s="242">
        <f>SUM(J32:J34)</f>
        <v>77497655</v>
      </c>
    </row>
    <row r="36" spans="1:10" ht="17.399999999999999" customHeight="1" x14ac:dyDescent="0.3">
      <c r="A36" s="370"/>
      <c r="B36" s="370"/>
      <c r="C36" s="370"/>
      <c r="D36" s="370"/>
      <c r="E36" s="370"/>
      <c r="F36" s="370"/>
      <c r="G36" s="370"/>
      <c r="H36" s="370"/>
      <c r="I36" s="370"/>
      <c r="J36" s="245"/>
    </row>
    <row r="37" spans="1:10" ht="17.399999999999999" customHeight="1" x14ac:dyDescent="0.3">
      <c r="A37" s="81"/>
      <c r="B37" s="81"/>
      <c r="C37" s="81"/>
      <c r="D37" s="81"/>
      <c r="E37" s="81"/>
      <c r="F37" s="81"/>
      <c r="G37" s="81"/>
      <c r="H37" s="81"/>
      <c r="I37" s="81"/>
      <c r="J37" s="245"/>
    </row>
    <row r="38" spans="1:10" ht="17.399999999999999" customHeight="1" x14ac:dyDescent="0.3">
      <c r="A38" s="81"/>
      <c r="B38" s="81"/>
      <c r="C38" s="81"/>
      <c r="D38" s="81"/>
      <c r="E38" s="81"/>
      <c r="F38" s="81"/>
      <c r="G38" s="81"/>
      <c r="H38" s="81"/>
      <c r="I38" s="81"/>
      <c r="J38" s="245"/>
    </row>
    <row r="39" spans="1:10" ht="17.399999999999999" customHeight="1" x14ac:dyDescent="0.3">
      <c r="A39" s="81"/>
      <c r="B39" s="81"/>
      <c r="C39" s="81"/>
      <c r="D39" s="81"/>
      <c r="E39" s="81"/>
      <c r="F39" s="81"/>
      <c r="G39" s="81"/>
      <c r="H39" s="81"/>
      <c r="I39" s="81"/>
      <c r="J39" s="245"/>
    </row>
    <row r="40" spans="1:10" ht="17.399999999999999" customHeight="1" x14ac:dyDescent="0.3">
      <c r="A40" s="81"/>
      <c r="B40" s="81"/>
      <c r="C40" s="81"/>
      <c r="D40" s="81"/>
      <c r="E40" s="81"/>
      <c r="F40" s="81"/>
      <c r="G40" s="81"/>
      <c r="H40" s="81"/>
      <c r="I40" s="81"/>
      <c r="J40" s="245"/>
    </row>
    <row r="41" spans="1:10" ht="17.399999999999999" customHeight="1" x14ac:dyDescent="0.3">
      <c r="A41" s="81"/>
      <c r="B41" s="81"/>
      <c r="C41" s="81"/>
      <c r="D41" s="81"/>
      <c r="E41" s="81"/>
      <c r="F41" s="81"/>
      <c r="G41" s="81"/>
      <c r="H41" s="81"/>
      <c r="I41" s="81"/>
      <c r="J41" s="245"/>
    </row>
    <row r="42" spans="1:10" ht="17.399999999999999" customHeight="1" x14ac:dyDescent="0.3">
      <c r="A42" s="81"/>
      <c r="B42" s="81"/>
      <c r="C42" s="81"/>
      <c r="D42" s="81"/>
      <c r="E42" s="81"/>
      <c r="F42" s="81"/>
      <c r="G42" s="81"/>
      <c r="H42" s="81"/>
      <c r="I42" s="81"/>
      <c r="J42" s="245"/>
    </row>
    <row r="43" spans="1:10" ht="17.399999999999999" customHeight="1" x14ac:dyDescent="0.3">
      <c r="A43" s="81"/>
      <c r="B43" s="81"/>
      <c r="C43" s="81"/>
      <c r="D43" s="81"/>
      <c r="E43" s="81"/>
      <c r="F43" s="81"/>
      <c r="G43" s="81"/>
      <c r="H43" s="81"/>
      <c r="I43" s="81"/>
      <c r="J43" s="245"/>
    </row>
    <row r="44" spans="1:10" ht="17.399999999999999" customHeight="1" x14ac:dyDescent="0.3">
      <c r="A44" s="81"/>
      <c r="B44" s="81"/>
      <c r="C44" s="81"/>
      <c r="D44" s="81"/>
      <c r="E44" s="81"/>
      <c r="F44" s="81"/>
      <c r="G44" s="81"/>
      <c r="H44" s="81"/>
      <c r="I44" s="81"/>
      <c r="J44" s="245"/>
    </row>
    <row r="45" spans="1:10" ht="17.399999999999999" customHeight="1" x14ac:dyDescent="0.3">
      <c r="A45" s="81"/>
      <c r="B45" s="81"/>
      <c r="C45" s="81"/>
      <c r="D45" s="81"/>
      <c r="E45" s="81"/>
      <c r="F45" s="81"/>
      <c r="G45" s="81"/>
      <c r="H45" s="81"/>
      <c r="I45" s="81"/>
      <c r="J45" s="245"/>
    </row>
    <row r="46" spans="1:10" ht="17.399999999999999" customHeight="1" x14ac:dyDescent="0.3">
      <c r="A46" s="364" t="s">
        <v>437</v>
      </c>
      <c r="B46" s="364"/>
      <c r="C46" s="364"/>
      <c r="D46" s="364"/>
      <c r="E46" s="364"/>
      <c r="F46" s="364"/>
      <c r="G46" s="364"/>
      <c r="H46" s="364"/>
      <c r="I46" s="364"/>
      <c r="J46" s="245"/>
    </row>
    <row r="47" spans="1:10" ht="17.399999999999999" customHeight="1" thickBot="1" x14ac:dyDescent="0.35">
      <c r="A47" s="426" t="s">
        <v>272</v>
      </c>
      <c r="B47" s="426"/>
      <c r="C47" s="426"/>
      <c r="D47" s="426"/>
      <c r="E47" s="426"/>
      <c r="F47" s="426"/>
      <c r="G47" s="426"/>
      <c r="H47" s="426"/>
      <c r="I47" s="426"/>
      <c r="J47" s="245"/>
    </row>
    <row r="48" spans="1:10" ht="17.399999999999999" customHeight="1" x14ac:dyDescent="0.3">
      <c r="A48" s="363"/>
      <c r="B48" s="363"/>
      <c r="C48" s="363"/>
      <c r="D48" s="363"/>
      <c r="E48" s="363"/>
      <c r="F48" s="363"/>
      <c r="G48" s="363"/>
      <c r="H48" s="363"/>
      <c r="I48" s="363"/>
      <c r="J48" s="245"/>
    </row>
    <row r="49" spans="1:11" ht="17.399999999999999" customHeight="1" x14ac:dyDescent="0.3">
      <c r="A49" s="591" t="s">
        <v>1078</v>
      </c>
      <c r="B49" s="591"/>
      <c r="C49" s="591"/>
      <c r="D49" s="591"/>
      <c r="E49" s="591"/>
      <c r="F49" s="591"/>
      <c r="G49" s="591"/>
      <c r="H49" s="591"/>
      <c r="I49" s="591"/>
      <c r="J49" s="256"/>
      <c r="K49" s="256"/>
    </row>
    <row r="50" spans="1:11" ht="17.399999999999999" customHeight="1" thickBot="1" x14ac:dyDescent="0.35">
      <c r="A50" s="665" t="s">
        <v>1079</v>
      </c>
      <c r="B50" s="665"/>
      <c r="C50" s="665"/>
      <c r="D50" s="665"/>
      <c r="E50" s="665"/>
      <c r="F50" s="665"/>
      <c r="G50" s="665"/>
      <c r="H50" s="665"/>
      <c r="I50" s="665"/>
      <c r="J50" s="259"/>
      <c r="K50" s="259"/>
    </row>
    <row r="51" spans="1:11" ht="27" customHeight="1" x14ac:dyDescent="0.3">
      <c r="A51" s="574" t="s">
        <v>0</v>
      </c>
      <c r="B51" s="654"/>
      <c r="C51" s="575"/>
      <c r="D51" s="662" t="s">
        <v>304</v>
      </c>
      <c r="E51" s="663"/>
      <c r="F51" s="663"/>
      <c r="G51" s="663"/>
      <c r="H51" s="664"/>
      <c r="I51" s="568" t="s">
        <v>18</v>
      </c>
    </row>
    <row r="52" spans="1:11" ht="27" customHeight="1" x14ac:dyDescent="0.3">
      <c r="A52" s="576"/>
      <c r="B52" s="655"/>
      <c r="C52" s="577"/>
      <c r="D52" s="350" t="s">
        <v>1141</v>
      </c>
      <c r="E52" s="350" t="s">
        <v>315</v>
      </c>
      <c r="F52" s="77" t="s">
        <v>305</v>
      </c>
      <c r="G52" s="77" t="s">
        <v>306</v>
      </c>
      <c r="H52" s="77" t="s">
        <v>436</v>
      </c>
      <c r="I52" s="569"/>
    </row>
    <row r="53" spans="1:11" ht="27" customHeight="1" x14ac:dyDescent="0.3">
      <c r="A53" s="486" t="s">
        <v>316</v>
      </c>
      <c r="B53" s="653"/>
      <c r="C53" s="487"/>
      <c r="D53" s="346">
        <v>615688092</v>
      </c>
      <c r="E53" s="346">
        <v>190992</v>
      </c>
      <c r="F53" s="346">
        <v>84495711</v>
      </c>
      <c r="G53" s="346">
        <v>0</v>
      </c>
      <c r="H53" s="346">
        <v>0</v>
      </c>
      <c r="I53" s="349">
        <f>SUM(D53:H53)</f>
        <v>700374795</v>
      </c>
      <c r="K53" s="31" t="s">
        <v>7</v>
      </c>
    </row>
    <row r="54" spans="1:11" ht="27" customHeight="1" x14ac:dyDescent="0.3">
      <c r="A54" s="486" t="s">
        <v>317</v>
      </c>
      <c r="B54" s="653"/>
      <c r="C54" s="487"/>
      <c r="D54" s="346">
        <v>0</v>
      </c>
      <c r="E54" s="346">
        <v>0</v>
      </c>
      <c r="F54" s="346">
        <v>0</v>
      </c>
      <c r="G54" s="346">
        <v>0</v>
      </c>
      <c r="H54" s="346">
        <v>0</v>
      </c>
      <c r="I54" s="349">
        <f>SUM(D54:H54)</f>
        <v>0</v>
      </c>
    </row>
    <row r="55" spans="1:11" ht="27" customHeight="1" x14ac:dyDescent="0.3">
      <c r="A55" s="486" t="s">
        <v>318</v>
      </c>
      <c r="B55" s="653"/>
      <c r="C55" s="487"/>
      <c r="D55" s="346">
        <v>0</v>
      </c>
      <c r="E55" s="346">
        <v>0</v>
      </c>
      <c r="F55" s="346">
        <v>0</v>
      </c>
      <c r="G55" s="346">
        <v>0</v>
      </c>
      <c r="H55" s="346">
        <v>0</v>
      </c>
      <c r="I55" s="349">
        <f>SUM(D55:H55)</f>
        <v>0</v>
      </c>
    </row>
    <row r="56" spans="1:11" ht="27" customHeight="1" x14ac:dyDescent="0.3">
      <c r="A56" s="486" t="s">
        <v>331</v>
      </c>
      <c r="B56" s="653"/>
      <c r="C56" s="487"/>
      <c r="D56" s="346">
        <v>0</v>
      </c>
      <c r="E56" s="346">
        <v>0</v>
      </c>
      <c r="F56" s="346">
        <v>0</v>
      </c>
      <c r="G56" s="346">
        <v>0</v>
      </c>
      <c r="H56" s="346">
        <v>0</v>
      </c>
      <c r="I56" s="349">
        <f>SUM(D56:H56)</f>
        <v>0</v>
      </c>
    </row>
    <row r="57" spans="1:11" ht="17.399999999999999" customHeight="1" thickBot="1" x14ac:dyDescent="0.35">
      <c r="A57" s="573" t="s">
        <v>18</v>
      </c>
      <c r="B57" s="661"/>
      <c r="C57" s="481"/>
      <c r="D57" s="347">
        <f t="shared" ref="D57:I57" si="0">SUM(D53:D56)</f>
        <v>615688092</v>
      </c>
      <c r="E57" s="347">
        <f t="shared" si="0"/>
        <v>190992</v>
      </c>
      <c r="F57" s="347">
        <f t="shared" si="0"/>
        <v>84495711</v>
      </c>
      <c r="G57" s="347">
        <f t="shared" si="0"/>
        <v>0</v>
      </c>
      <c r="H57" s="347">
        <f t="shared" si="0"/>
        <v>0</v>
      </c>
      <c r="I57" s="348">
        <f t="shared" si="0"/>
        <v>700374795</v>
      </c>
      <c r="J57" s="39" t="s">
        <v>7</v>
      </c>
      <c r="K57" s="40" t="s">
        <v>7</v>
      </c>
    </row>
    <row r="58" spans="1:11" ht="17.399999999999999" customHeight="1" x14ac:dyDescent="0.3">
      <c r="A58" s="671"/>
      <c r="B58" s="671"/>
      <c r="C58" s="671"/>
      <c r="D58" s="671"/>
      <c r="E58" s="671"/>
      <c r="F58" s="671"/>
      <c r="G58" s="671"/>
      <c r="H58" s="671"/>
      <c r="I58" s="671"/>
    </row>
    <row r="59" spans="1:11" ht="17.399999999999999" customHeight="1" thickBot="1" x14ac:dyDescent="0.35">
      <c r="A59" s="426" t="s">
        <v>1080</v>
      </c>
      <c r="B59" s="426"/>
      <c r="C59" s="426"/>
      <c r="D59" s="426"/>
      <c r="E59" s="426"/>
      <c r="F59" s="426"/>
      <c r="G59" s="426"/>
      <c r="H59" s="426"/>
      <c r="I59" s="426"/>
      <c r="J59" s="106"/>
      <c r="K59" s="106"/>
    </row>
    <row r="60" spans="1:11" ht="27" customHeight="1" x14ac:dyDescent="0.3">
      <c r="A60" s="574" t="s">
        <v>0</v>
      </c>
      <c r="B60" s="654"/>
      <c r="C60" s="575"/>
      <c r="D60" s="662" t="s">
        <v>304</v>
      </c>
      <c r="E60" s="663"/>
      <c r="F60" s="663"/>
      <c r="G60" s="663"/>
      <c r="H60" s="664"/>
      <c r="I60" s="568" t="s">
        <v>18</v>
      </c>
    </row>
    <row r="61" spans="1:11" ht="27" customHeight="1" x14ac:dyDescent="0.3">
      <c r="A61" s="576"/>
      <c r="B61" s="655"/>
      <c r="C61" s="577"/>
      <c r="D61" s="350" t="s">
        <v>1141</v>
      </c>
      <c r="E61" s="350" t="s">
        <v>315</v>
      </c>
      <c r="F61" s="77" t="s">
        <v>305</v>
      </c>
      <c r="G61" s="77" t="s">
        <v>306</v>
      </c>
      <c r="H61" s="77" t="s">
        <v>436</v>
      </c>
      <c r="I61" s="569"/>
    </row>
    <row r="62" spans="1:11" ht="27" customHeight="1" x14ac:dyDescent="0.3">
      <c r="A62" s="486" t="s">
        <v>319</v>
      </c>
      <c r="B62" s="653"/>
      <c r="C62" s="487"/>
      <c r="D62" s="346">
        <v>174025717</v>
      </c>
      <c r="E62" s="346">
        <v>413000</v>
      </c>
      <c r="F62" s="346">
        <v>72085247</v>
      </c>
      <c r="G62" s="346">
        <v>0</v>
      </c>
      <c r="H62" s="346">
        <v>0</v>
      </c>
      <c r="I62" s="349">
        <f>SUM(D62:H62)</f>
        <v>246523964</v>
      </c>
      <c r="J62" s="31" t="s">
        <v>7</v>
      </c>
    </row>
    <row r="63" spans="1:11" ht="27" customHeight="1" x14ac:dyDescent="0.3">
      <c r="A63" s="486" t="s">
        <v>317</v>
      </c>
      <c r="B63" s="653"/>
      <c r="C63" s="487"/>
      <c r="D63" s="346">
        <v>0</v>
      </c>
      <c r="E63" s="346">
        <v>0</v>
      </c>
      <c r="F63" s="346">
        <v>0</v>
      </c>
      <c r="G63" s="346">
        <v>0</v>
      </c>
      <c r="H63" s="346">
        <v>0</v>
      </c>
      <c r="I63" s="349">
        <f>SUM(D63:H63)</f>
        <v>0</v>
      </c>
      <c r="J63" s="31" t="s">
        <v>7</v>
      </c>
    </row>
    <row r="64" spans="1:11" ht="27" customHeight="1" x14ac:dyDescent="0.3">
      <c r="A64" s="486" t="s">
        <v>318</v>
      </c>
      <c r="B64" s="653"/>
      <c r="C64" s="487"/>
      <c r="D64" s="346">
        <v>0</v>
      </c>
      <c r="E64" s="346">
        <v>0</v>
      </c>
      <c r="F64" s="346">
        <v>0</v>
      </c>
      <c r="G64" s="346">
        <v>0</v>
      </c>
      <c r="H64" s="346">
        <v>0</v>
      </c>
      <c r="I64" s="349">
        <f>SUM(D64:H64)</f>
        <v>0</v>
      </c>
      <c r="J64" s="31" t="s">
        <v>7</v>
      </c>
    </row>
    <row r="65" spans="1:14" ht="27" customHeight="1" x14ac:dyDescent="0.3">
      <c r="A65" s="486" t="s">
        <v>331</v>
      </c>
      <c r="B65" s="653"/>
      <c r="C65" s="487"/>
      <c r="D65" s="346">
        <v>0</v>
      </c>
      <c r="E65" s="346">
        <v>0</v>
      </c>
      <c r="F65" s="346">
        <v>0</v>
      </c>
      <c r="G65" s="346">
        <v>0</v>
      </c>
      <c r="H65" s="346">
        <v>0</v>
      </c>
      <c r="I65" s="349">
        <f>SUM(D65:H65)</f>
        <v>0</v>
      </c>
      <c r="J65" s="31" t="s">
        <v>7</v>
      </c>
    </row>
    <row r="66" spans="1:14" ht="17.399999999999999" customHeight="1" thickBot="1" x14ac:dyDescent="0.35">
      <c r="A66" s="573" t="s">
        <v>18</v>
      </c>
      <c r="B66" s="661"/>
      <c r="C66" s="481"/>
      <c r="D66" s="347">
        <f t="shared" ref="D66:I66" si="1">SUM(D62:D65)</f>
        <v>174025717</v>
      </c>
      <c r="E66" s="347">
        <f t="shared" si="1"/>
        <v>413000</v>
      </c>
      <c r="F66" s="347">
        <f t="shared" si="1"/>
        <v>72085247</v>
      </c>
      <c r="G66" s="347">
        <f t="shared" si="1"/>
        <v>0</v>
      </c>
      <c r="H66" s="347">
        <f t="shared" si="1"/>
        <v>0</v>
      </c>
      <c r="I66" s="348">
        <f t="shared" si="1"/>
        <v>246523964</v>
      </c>
      <c r="J66" s="31" t="s">
        <v>7</v>
      </c>
      <c r="K66" s="40">
        <f>+I66-H35</f>
        <v>0</v>
      </c>
    </row>
    <row r="67" spans="1:14" ht="17.399999999999999" customHeight="1" x14ac:dyDescent="0.3">
      <c r="A67" s="671"/>
      <c r="B67" s="671"/>
      <c r="C67" s="671"/>
      <c r="D67" s="671"/>
      <c r="E67" s="671"/>
      <c r="F67" s="671"/>
      <c r="G67" s="671"/>
      <c r="H67" s="671"/>
      <c r="I67" s="671"/>
      <c r="J67" s="245"/>
    </row>
    <row r="68" spans="1:14" ht="17.399999999999999" customHeight="1" thickBot="1" x14ac:dyDescent="0.35">
      <c r="A68" s="665" t="s">
        <v>1081</v>
      </c>
      <c r="B68" s="665"/>
      <c r="C68" s="665"/>
      <c r="D68" s="665"/>
      <c r="E68" s="665"/>
      <c r="F68" s="665"/>
      <c r="G68" s="665"/>
      <c r="H68" s="665"/>
      <c r="I68" s="665"/>
    </row>
    <row r="69" spans="1:14" ht="33" customHeight="1" x14ac:dyDescent="0.3">
      <c r="A69" s="41" t="s">
        <v>60</v>
      </c>
      <c r="B69" s="637" t="s">
        <v>0</v>
      </c>
      <c r="C69" s="638"/>
      <c r="D69" s="638"/>
      <c r="E69" s="639"/>
      <c r="F69" s="643" t="s">
        <v>342</v>
      </c>
      <c r="G69" s="651"/>
      <c r="H69" s="643" t="s">
        <v>27</v>
      </c>
      <c r="I69" s="644"/>
      <c r="J69" s="122" t="s">
        <v>476</v>
      </c>
    </row>
    <row r="70" spans="1:14" ht="17.399999999999999" customHeight="1" x14ac:dyDescent="0.3">
      <c r="A70" s="32">
        <v>1</v>
      </c>
      <c r="B70" s="658" t="s">
        <v>366</v>
      </c>
      <c r="C70" s="659"/>
      <c r="D70" s="659"/>
      <c r="E70" s="660"/>
      <c r="F70" s="496" t="s">
        <v>7</v>
      </c>
      <c r="G70" s="497"/>
      <c r="H70" s="496" t="s">
        <v>7</v>
      </c>
      <c r="I70" s="523"/>
      <c r="J70" s="121"/>
      <c r="M70" s="40"/>
      <c r="N70" s="40"/>
    </row>
    <row r="71" spans="1:14" ht="17.399999999999999" customHeight="1" x14ac:dyDescent="0.3">
      <c r="A71" s="32"/>
      <c r="B71" s="620" t="s">
        <v>365</v>
      </c>
      <c r="C71" s="621"/>
      <c r="D71" s="621"/>
      <c r="E71" s="622"/>
      <c r="F71" s="534">
        <v>20121325</v>
      </c>
      <c r="G71" s="535"/>
      <c r="H71" s="534">
        <v>9165901</v>
      </c>
      <c r="I71" s="549"/>
      <c r="J71" s="121">
        <v>3113</v>
      </c>
      <c r="M71" s="40"/>
      <c r="N71" s="40"/>
    </row>
    <row r="72" spans="1:14" ht="17.399999999999999" customHeight="1" x14ac:dyDescent="0.3">
      <c r="A72" s="32">
        <v>2</v>
      </c>
      <c r="B72" s="620" t="s">
        <v>122</v>
      </c>
      <c r="C72" s="621"/>
      <c r="D72" s="621"/>
      <c r="E72" s="622"/>
      <c r="F72" s="460">
        <v>0</v>
      </c>
      <c r="G72" s="492"/>
      <c r="H72" s="460">
        <v>1676</v>
      </c>
      <c r="I72" s="461"/>
      <c r="J72" s="121">
        <v>3714</v>
      </c>
      <c r="K72" s="258" t="s">
        <v>7</v>
      </c>
      <c r="L72" s="355"/>
      <c r="M72" s="241"/>
      <c r="N72" s="40"/>
    </row>
    <row r="73" spans="1:14" ht="17.399999999999999" customHeight="1" x14ac:dyDescent="0.3">
      <c r="A73" s="32">
        <v>3</v>
      </c>
      <c r="B73" s="620" t="s">
        <v>859</v>
      </c>
      <c r="C73" s="621"/>
      <c r="D73" s="621"/>
      <c r="E73" s="622"/>
      <c r="F73" s="460">
        <f>7500000+50000</f>
        <v>7550000</v>
      </c>
      <c r="G73" s="492"/>
      <c r="H73" s="460">
        <v>514996</v>
      </c>
      <c r="I73" s="461"/>
      <c r="J73" s="121">
        <v>0</v>
      </c>
      <c r="K73" s="258"/>
      <c r="L73" s="355"/>
      <c r="M73" s="40"/>
      <c r="N73" s="40"/>
    </row>
    <row r="74" spans="1:14" ht="17.399999999999999" customHeight="1" x14ac:dyDescent="0.3">
      <c r="A74" s="198" t="s">
        <v>7</v>
      </c>
      <c r="B74" s="631" t="s">
        <v>7</v>
      </c>
      <c r="C74" s="632"/>
      <c r="D74" s="632"/>
      <c r="E74" s="633"/>
      <c r="F74" s="530" t="s">
        <v>7</v>
      </c>
      <c r="G74" s="543"/>
      <c r="H74" s="530" t="s">
        <v>7</v>
      </c>
      <c r="I74" s="531"/>
      <c r="J74" s="121" t="s">
        <v>7</v>
      </c>
      <c r="K74" s="258"/>
      <c r="L74" s="355"/>
      <c r="M74" s="40"/>
      <c r="N74" s="40"/>
    </row>
    <row r="75" spans="1:14" ht="17.399999999999999" customHeight="1" thickBot="1" x14ac:dyDescent="0.35">
      <c r="A75" s="33"/>
      <c r="B75" s="634" t="s">
        <v>18</v>
      </c>
      <c r="C75" s="635"/>
      <c r="D75" s="635"/>
      <c r="E75" s="636"/>
      <c r="F75" s="498">
        <f>SUM(F70:G74)</f>
        <v>27671325</v>
      </c>
      <c r="G75" s="506"/>
      <c r="H75" s="498">
        <f>SUM(H70:I74)</f>
        <v>9682573</v>
      </c>
      <c r="I75" s="499"/>
      <c r="J75" s="242">
        <f>SUM(J70:J74)</f>
        <v>6827</v>
      </c>
      <c r="L75" s="355"/>
      <c r="M75" s="40"/>
      <c r="N75" s="40"/>
    </row>
    <row r="76" spans="1:14" ht="17.399999999999999" customHeight="1" x14ac:dyDescent="0.3">
      <c r="A76" s="370"/>
      <c r="B76" s="370"/>
      <c r="C76" s="370"/>
      <c r="D76" s="370"/>
      <c r="E76" s="370"/>
      <c r="F76" s="370"/>
      <c r="G76" s="370"/>
      <c r="H76" s="370"/>
      <c r="I76" s="370"/>
      <c r="L76" s="355"/>
      <c r="M76" s="40"/>
      <c r="N76" s="40"/>
    </row>
    <row r="77" spans="1:14" ht="17.399999999999999" customHeight="1" x14ac:dyDescent="0.3">
      <c r="A77" s="81"/>
      <c r="B77" s="81"/>
      <c r="C77" s="81"/>
      <c r="D77" s="81"/>
      <c r="E77" s="81"/>
      <c r="F77" s="81"/>
      <c r="G77" s="81"/>
      <c r="H77" s="81"/>
      <c r="I77" s="81"/>
      <c r="L77" s="241"/>
      <c r="M77" s="254"/>
      <c r="N77" s="254"/>
    </row>
    <row r="78" spans="1:14" ht="17.399999999999999" customHeight="1" x14ac:dyDescent="0.3">
      <c r="A78" s="81"/>
      <c r="B78" s="81"/>
      <c r="C78" s="81"/>
      <c r="D78" s="81"/>
      <c r="E78" s="81"/>
      <c r="F78" s="81"/>
      <c r="G78" s="81"/>
      <c r="H78" s="81"/>
      <c r="I78" s="81"/>
    </row>
    <row r="79" spans="1:14" ht="17.399999999999999" customHeight="1" x14ac:dyDescent="0.3">
      <c r="A79" s="81"/>
      <c r="B79" s="81"/>
      <c r="C79" s="81"/>
      <c r="D79" s="81"/>
      <c r="E79" s="81"/>
      <c r="F79" s="81"/>
      <c r="G79" s="81"/>
      <c r="H79" s="81"/>
      <c r="I79" s="81"/>
    </row>
    <row r="80" spans="1:14" ht="17.399999999999999" customHeight="1" x14ac:dyDescent="0.3">
      <c r="A80" s="81"/>
      <c r="B80" s="81"/>
      <c r="C80" s="81"/>
      <c r="D80" s="81"/>
      <c r="E80" s="81"/>
      <c r="F80" s="81"/>
      <c r="G80" s="81"/>
      <c r="H80" s="81"/>
      <c r="I80" s="81"/>
    </row>
    <row r="81" spans="1:13" ht="17.399999999999999" customHeight="1" x14ac:dyDescent="0.3">
      <c r="A81" s="81"/>
      <c r="B81" s="81"/>
      <c r="C81" s="81"/>
      <c r="D81" s="81"/>
      <c r="E81" s="81"/>
      <c r="F81" s="81"/>
      <c r="G81" s="81"/>
      <c r="H81" s="81"/>
      <c r="I81" s="81"/>
    </row>
    <row r="82" spans="1:13" ht="17.399999999999999" customHeight="1" x14ac:dyDescent="0.3">
      <c r="A82" s="81"/>
      <c r="B82" s="81"/>
      <c r="C82" s="81"/>
      <c r="D82" s="81"/>
      <c r="E82" s="81"/>
      <c r="F82" s="81"/>
      <c r="G82" s="81"/>
      <c r="H82" s="81"/>
      <c r="I82" s="81"/>
    </row>
    <row r="83" spans="1:13" ht="17.399999999999999" customHeight="1" x14ac:dyDescent="0.3">
      <c r="A83" s="81"/>
      <c r="B83" s="81"/>
      <c r="C83" s="81"/>
      <c r="D83" s="81"/>
      <c r="E83" s="81"/>
      <c r="F83" s="81"/>
      <c r="G83" s="81"/>
      <c r="H83" s="81"/>
      <c r="I83" s="81"/>
    </row>
    <row r="84" spans="1:13" ht="17.399999999999999" customHeight="1" x14ac:dyDescent="0.3">
      <c r="A84" s="81"/>
      <c r="B84" s="81"/>
      <c r="C84" s="81"/>
      <c r="D84" s="81"/>
      <c r="E84" s="81"/>
      <c r="F84" s="81"/>
      <c r="G84" s="81"/>
      <c r="H84" s="81"/>
      <c r="I84" s="81"/>
    </row>
    <row r="85" spans="1:13" ht="17.399999999999999" customHeight="1" x14ac:dyDescent="0.3">
      <c r="A85" s="81"/>
      <c r="B85" s="81"/>
      <c r="C85" s="81"/>
      <c r="D85" s="81"/>
      <c r="E85" s="81"/>
      <c r="F85" s="81"/>
      <c r="G85" s="81"/>
      <c r="H85" s="81"/>
      <c r="I85" s="81"/>
    </row>
    <row r="86" spans="1:13" ht="17.399999999999999" customHeight="1" x14ac:dyDescent="0.3">
      <c r="A86" s="81"/>
      <c r="B86" s="81"/>
      <c r="C86" s="81"/>
      <c r="D86" s="81"/>
      <c r="E86" s="81"/>
      <c r="F86" s="81"/>
      <c r="G86" s="81"/>
      <c r="H86" s="81"/>
      <c r="I86" s="81"/>
    </row>
    <row r="87" spans="1:13" ht="17.399999999999999" customHeight="1" x14ac:dyDescent="0.3">
      <c r="A87" s="364" t="s">
        <v>437</v>
      </c>
      <c r="B87" s="364"/>
      <c r="C87" s="364"/>
      <c r="D87" s="364"/>
      <c r="E87" s="364"/>
      <c r="F87" s="364"/>
      <c r="G87" s="364"/>
      <c r="H87" s="364"/>
      <c r="I87" s="364"/>
    </row>
    <row r="88" spans="1:13" ht="17.399999999999999" customHeight="1" thickBot="1" x14ac:dyDescent="0.35">
      <c r="A88" s="426" t="s">
        <v>272</v>
      </c>
      <c r="B88" s="426"/>
      <c r="C88" s="426"/>
      <c r="D88" s="426"/>
      <c r="E88" s="426"/>
      <c r="F88" s="426"/>
      <c r="G88" s="426"/>
      <c r="H88" s="426"/>
      <c r="I88" s="426"/>
    </row>
    <row r="89" spans="1:13" ht="17.399999999999999" customHeight="1" x14ac:dyDescent="0.3">
      <c r="A89" s="363"/>
      <c r="B89" s="363"/>
      <c r="C89" s="363"/>
      <c r="D89" s="363"/>
      <c r="E89" s="363"/>
      <c r="F89" s="363"/>
      <c r="G89" s="363"/>
      <c r="H89" s="363"/>
      <c r="I89" s="363"/>
    </row>
    <row r="90" spans="1:13" ht="17.399999999999999" customHeight="1" thickBot="1" x14ac:dyDescent="0.35">
      <c r="A90" s="364" t="s">
        <v>1082</v>
      </c>
      <c r="B90" s="364"/>
      <c r="C90" s="364"/>
      <c r="D90" s="364"/>
      <c r="E90" s="364"/>
      <c r="F90" s="364"/>
      <c r="G90" s="364"/>
      <c r="H90" s="364"/>
      <c r="I90" s="364"/>
    </row>
    <row r="91" spans="1:13" ht="28.8" customHeight="1" x14ac:dyDescent="0.3">
      <c r="A91" s="41" t="s">
        <v>60</v>
      </c>
      <c r="B91" s="637" t="s">
        <v>0</v>
      </c>
      <c r="C91" s="638"/>
      <c r="D91" s="638"/>
      <c r="E91" s="639"/>
      <c r="F91" s="643" t="str">
        <f>+F69</f>
        <v>As at 31st March, 2025</v>
      </c>
      <c r="G91" s="651"/>
      <c r="H91" s="643" t="s">
        <v>27</v>
      </c>
      <c r="I91" s="644"/>
      <c r="J91" s="122" t="s">
        <v>476</v>
      </c>
    </row>
    <row r="92" spans="1:13" ht="18" customHeight="1" x14ac:dyDescent="0.3">
      <c r="A92" s="32">
        <v>1</v>
      </c>
      <c r="B92" s="645" t="s">
        <v>1049</v>
      </c>
      <c r="C92" s="646"/>
      <c r="D92" s="646"/>
      <c r="E92" s="647"/>
      <c r="F92" s="496">
        <f>+'SC &amp; SD'!M119</f>
        <v>99591710</v>
      </c>
      <c r="G92" s="497"/>
      <c r="H92" s="496">
        <f>+'SC &amp; SD'!N119</f>
        <v>68544209</v>
      </c>
      <c r="I92" s="523"/>
      <c r="J92" s="121">
        <v>76562242</v>
      </c>
    </row>
    <row r="93" spans="1:13" ht="17.399999999999999" customHeight="1" x14ac:dyDescent="0.3">
      <c r="A93" s="32">
        <v>2</v>
      </c>
      <c r="B93" s="620" t="s">
        <v>1050</v>
      </c>
      <c r="C93" s="621"/>
      <c r="D93" s="621"/>
      <c r="E93" s="622"/>
      <c r="F93" s="460">
        <f>+'SC &amp; SD'!M131</f>
        <v>40000000</v>
      </c>
      <c r="G93" s="492"/>
      <c r="H93" s="460">
        <f>+'SC &amp; SD'!N131</f>
        <v>0</v>
      </c>
      <c r="I93" s="461"/>
      <c r="J93" s="121">
        <v>150000</v>
      </c>
      <c r="L93" s="40" t="s">
        <v>7</v>
      </c>
      <c r="M93" s="39" t="s">
        <v>7</v>
      </c>
    </row>
    <row r="94" spans="1:13" ht="17.399999999999999" customHeight="1" x14ac:dyDescent="0.3">
      <c r="A94" s="32">
        <v>3</v>
      </c>
      <c r="B94" s="620" t="s">
        <v>493</v>
      </c>
      <c r="C94" s="621"/>
      <c r="D94" s="621"/>
      <c r="E94" s="622"/>
      <c r="F94" s="460">
        <v>0</v>
      </c>
      <c r="G94" s="492"/>
      <c r="H94" s="460">
        <v>500066</v>
      </c>
      <c r="I94" s="461"/>
      <c r="J94" s="121">
        <v>0</v>
      </c>
      <c r="L94" s="40" t="s">
        <v>7</v>
      </c>
      <c r="M94" s="39" t="s">
        <v>7</v>
      </c>
    </row>
    <row r="95" spans="1:13" ht="17.399999999999999" customHeight="1" x14ac:dyDescent="0.3">
      <c r="A95" s="32">
        <v>4</v>
      </c>
      <c r="B95" s="620" t="s">
        <v>73</v>
      </c>
      <c r="C95" s="621"/>
      <c r="D95" s="621"/>
      <c r="E95" s="622"/>
      <c r="F95" s="534">
        <v>196417</v>
      </c>
      <c r="G95" s="535"/>
      <c r="H95" s="534">
        <v>0</v>
      </c>
      <c r="I95" s="549"/>
      <c r="J95" s="121"/>
      <c r="L95" s="40"/>
      <c r="M95" s="39"/>
    </row>
    <row r="96" spans="1:13" ht="17.399999999999999" customHeight="1" x14ac:dyDescent="0.3">
      <c r="A96" s="32">
        <v>5</v>
      </c>
      <c r="B96" s="648" t="s">
        <v>492</v>
      </c>
      <c r="C96" s="649"/>
      <c r="D96" s="649"/>
      <c r="E96" s="650"/>
      <c r="F96" s="672"/>
      <c r="G96" s="673"/>
      <c r="H96" s="460"/>
      <c r="I96" s="461"/>
      <c r="J96" s="121"/>
      <c r="L96" s="40"/>
      <c r="M96" s="39"/>
    </row>
    <row r="97" spans="1:13" ht="17.399999999999999" customHeight="1" x14ac:dyDescent="0.3">
      <c r="A97" s="32"/>
      <c r="B97" s="620" t="s">
        <v>803</v>
      </c>
      <c r="C97" s="621"/>
      <c r="D97" s="621"/>
      <c r="E97" s="622"/>
      <c r="F97" s="460">
        <f>475300+41597-291435</f>
        <v>225462</v>
      </c>
      <c r="G97" s="492"/>
      <c r="H97" s="460">
        <f>30000+666432-144066</f>
        <v>552366</v>
      </c>
      <c r="I97" s="461"/>
      <c r="J97" s="121">
        <f>1365000+39126-448495</f>
        <v>955631</v>
      </c>
    </row>
    <row r="98" spans="1:13" ht="17.399999999999999" customHeight="1" x14ac:dyDescent="0.3">
      <c r="A98" s="32"/>
      <c r="B98" s="620" t="s">
        <v>994</v>
      </c>
      <c r="C98" s="621"/>
      <c r="D98" s="621"/>
      <c r="E98" s="622"/>
      <c r="F98" s="460">
        <v>0</v>
      </c>
      <c r="G98" s="492"/>
      <c r="H98" s="460">
        <v>850000</v>
      </c>
      <c r="I98" s="461"/>
      <c r="J98" s="121">
        <v>0</v>
      </c>
      <c r="L98" s="40" t="s">
        <v>7</v>
      </c>
      <c r="M98" s="40" t="s">
        <v>7</v>
      </c>
    </row>
    <row r="99" spans="1:13" ht="17.399999999999999" customHeight="1" x14ac:dyDescent="0.3">
      <c r="A99" s="198" t="s">
        <v>7</v>
      </c>
      <c r="B99" s="631" t="s">
        <v>7</v>
      </c>
      <c r="C99" s="632"/>
      <c r="D99" s="632"/>
      <c r="E99" s="633"/>
      <c r="F99" s="530" t="s">
        <v>7</v>
      </c>
      <c r="G99" s="543"/>
      <c r="H99" s="530" t="s">
        <v>7</v>
      </c>
      <c r="I99" s="531"/>
      <c r="J99" s="121"/>
      <c r="L99" s="40"/>
      <c r="M99" s="40"/>
    </row>
    <row r="100" spans="1:13" ht="17.399999999999999" customHeight="1" thickBot="1" x14ac:dyDescent="0.35">
      <c r="A100" s="36"/>
      <c r="B100" s="674"/>
      <c r="C100" s="675"/>
      <c r="D100" s="675"/>
      <c r="E100" s="676"/>
      <c r="F100" s="498">
        <f>SUM(F92:G99)</f>
        <v>140013589</v>
      </c>
      <c r="G100" s="506"/>
      <c r="H100" s="498">
        <f>SUM(H92:I99)</f>
        <v>70446641</v>
      </c>
      <c r="I100" s="499"/>
      <c r="J100" s="242">
        <f>SUM(J92:J99)</f>
        <v>77667873</v>
      </c>
    </row>
    <row r="101" spans="1:13" ht="17.399999999999999" customHeight="1" x14ac:dyDescent="0.3">
      <c r="A101" s="370"/>
      <c r="B101" s="370"/>
      <c r="C101" s="370"/>
      <c r="D101" s="370"/>
      <c r="E101" s="370"/>
      <c r="F101" s="370"/>
      <c r="G101" s="370"/>
      <c r="H101" s="370"/>
      <c r="I101" s="370"/>
    </row>
    <row r="102" spans="1:13" ht="17.399999999999999" customHeight="1" thickBot="1" x14ac:dyDescent="0.35">
      <c r="A102" s="649" t="s">
        <v>1083</v>
      </c>
      <c r="B102" s="649"/>
      <c r="C102" s="649"/>
      <c r="D102" s="649"/>
      <c r="E102" s="649"/>
      <c r="F102" s="649"/>
      <c r="G102" s="649"/>
      <c r="H102" s="649"/>
      <c r="I102" s="649"/>
    </row>
    <row r="103" spans="1:13" ht="30" customHeight="1" x14ac:dyDescent="0.3">
      <c r="A103" s="41" t="s">
        <v>60</v>
      </c>
      <c r="B103" s="637" t="s">
        <v>0</v>
      </c>
      <c r="C103" s="638"/>
      <c r="D103" s="638"/>
      <c r="E103" s="639"/>
      <c r="F103" s="643" t="str">
        <f>+F91</f>
        <v>As at 31st March, 2025</v>
      </c>
      <c r="G103" s="651"/>
      <c r="H103" s="643" t="s">
        <v>27</v>
      </c>
      <c r="I103" s="644"/>
      <c r="J103" s="122" t="s">
        <v>476</v>
      </c>
    </row>
    <row r="104" spans="1:13" ht="17.399999999999999" customHeight="1" x14ac:dyDescent="0.3">
      <c r="A104" s="32">
        <v>1</v>
      </c>
      <c r="B104" s="645" t="s">
        <v>802</v>
      </c>
      <c r="C104" s="646"/>
      <c r="D104" s="646"/>
      <c r="E104" s="647"/>
      <c r="F104" s="496">
        <v>271407</v>
      </c>
      <c r="G104" s="497"/>
      <c r="H104" s="496">
        <v>0</v>
      </c>
      <c r="I104" s="523"/>
      <c r="J104" s="121">
        <v>0</v>
      </c>
    </row>
    <row r="105" spans="1:13" ht="17.399999999999999" customHeight="1" x14ac:dyDescent="0.3">
      <c r="A105" s="32">
        <v>2</v>
      </c>
      <c r="B105" s="620" t="s">
        <v>1004</v>
      </c>
      <c r="C105" s="621"/>
      <c r="D105" s="621"/>
      <c r="E105" s="622"/>
      <c r="F105" s="460">
        <v>994568</v>
      </c>
      <c r="G105" s="492"/>
      <c r="H105" s="460">
        <v>0</v>
      </c>
      <c r="I105" s="461"/>
      <c r="J105" s="121">
        <v>0</v>
      </c>
      <c r="L105" s="116"/>
      <c r="M105" s="116"/>
    </row>
    <row r="106" spans="1:13" ht="17.399999999999999" customHeight="1" x14ac:dyDescent="0.3">
      <c r="A106" s="32">
        <v>3</v>
      </c>
      <c r="B106" s="648" t="s">
        <v>367</v>
      </c>
      <c r="C106" s="649"/>
      <c r="D106" s="649"/>
      <c r="E106" s="650"/>
      <c r="F106" s="672"/>
      <c r="G106" s="673"/>
      <c r="H106" s="460"/>
      <c r="I106" s="461"/>
      <c r="J106" s="121"/>
    </row>
    <row r="107" spans="1:13" ht="17.399999999999999" customHeight="1" x14ac:dyDescent="0.3">
      <c r="A107" s="32" t="s">
        <v>7</v>
      </c>
      <c r="B107" s="620" t="s">
        <v>1059</v>
      </c>
      <c r="C107" s="621"/>
      <c r="D107" s="621"/>
      <c r="E107" s="622"/>
      <c r="F107" s="460">
        <f>250125+1320+50277</f>
        <v>301722</v>
      </c>
      <c r="G107" s="492"/>
      <c r="H107" s="460">
        <f>1180621+250543+170172</f>
        <v>1601336</v>
      </c>
      <c r="I107" s="461"/>
      <c r="J107" s="121">
        <f>250543+143543</f>
        <v>394086</v>
      </c>
      <c r="L107" s="31" t="s">
        <v>7</v>
      </c>
    </row>
    <row r="108" spans="1:13" ht="17.399999999999999" customHeight="1" x14ac:dyDescent="0.3">
      <c r="A108" s="32"/>
      <c r="B108" s="620" t="s">
        <v>449</v>
      </c>
      <c r="C108" s="621"/>
      <c r="D108" s="621"/>
      <c r="E108" s="622"/>
      <c r="F108" s="460">
        <v>14184684</v>
      </c>
      <c r="G108" s="492"/>
      <c r="H108" s="460">
        <v>363270</v>
      </c>
      <c r="I108" s="461"/>
      <c r="J108" s="121">
        <v>0</v>
      </c>
      <c r="L108" s="31" t="s">
        <v>7</v>
      </c>
      <c r="M108" s="31" t="s">
        <v>7</v>
      </c>
    </row>
    <row r="109" spans="1:13" ht="17.399999999999999" customHeight="1" x14ac:dyDescent="0.3">
      <c r="A109" s="32" t="s">
        <v>7</v>
      </c>
      <c r="B109" s="620" t="s">
        <v>955</v>
      </c>
      <c r="C109" s="621"/>
      <c r="D109" s="621"/>
      <c r="E109" s="622"/>
      <c r="F109" s="460">
        <v>130949</v>
      </c>
      <c r="G109" s="492"/>
      <c r="H109" s="460">
        <f>3010091+2034+3276+2034+235543</f>
        <v>3252978</v>
      </c>
      <c r="I109" s="461"/>
      <c r="J109" s="121">
        <f>12690986+20176</f>
        <v>12711162</v>
      </c>
      <c r="L109" s="31" t="s">
        <v>7</v>
      </c>
    </row>
    <row r="110" spans="1:13" ht="17.399999999999999" customHeight="1" x14ac:dyDescent="0.3">
      <c r="A110" s="198" t="s">
        <v>7</v>
      </c>
      <c r="B110" s="631" t="s">
        <v>7</v>
      </c>
      <c r="C110" s="632"/>
      <c r="D110" s="632"/>
      <c r="E110" s="633"/>
      <c r="F110" s="530" t="s">
        <v>7</v>
      </c>
      <c r="G110" s="543"/>
      <c r="H110" s="530" t="s">
        <v>7</v>
      </c>
      <c r="I110" s="531"/>
      <c r="J110" s="121"/>
      <c r="L110" s="31" t="s">
        <v>7</v>
      </c>
      <c r="M110" s="40" t="s">
        <v>7</v>
      </c>
    </row>
    <row r="111" spans="1:13" ht="17.399999999999999" customHeight="1" thickBot="1" x14ac:dyDescent="0.35">
      <c r="A111" s="33"/>
      <c r="B111" s="634" t="s">
        <v>18</v>
      </c>
      <c r="C111" s="635"/>
      <c r="D111" s="635"/>
      <c r="E111" s="636"/>
      <c r="F111" s="498">
        <f>SUM(F104:G110)</f>
        <v>15883330</v>
      </c>
      <c r="G111" s="506"/>
      <c r="H111" s="498">
        <f>SUM(H104:I110)</f>
        <v>5217584</v>
      </c>
      <c r="I111" s="499"/>
      <c r="J111" s="242">
        <f>SUM(J104:J110)</f>
        <v>13105248</v>
      </c>
    </row>
    <row r="112" spans="1:13" ht="17.399999999999999" customHeight="1" x14ac:dyDescent="0.3">
      <c r="G112" s="64"/>
      <c r="H112" s="64"/>
      <c r="I112" s="64"/>
    </row>
    <row r="113" spans="7:9" ht="17.399999999999999" customHeight="1" x14ac:dyDescent="0.3">
      <c r="G113" s="64"/>
      <c r="H113" s="64"/>
      <c r="I113" s="64"/>
    </row>
    <row r="114" spans="7:9" ht="17.399999999999999" customHeight="1" x14ac:dyDescent="0.3">
      <c r="G114" s="64"/>
      <c r="H114" s="64"/>
      <c r="I114" s="64"/>
    </row>
    <row r="115" spans="7:9" ht="17.399999999999999" customHeight="1" x14ac:dyDescent="0.3">
      <c r="G115" s="64"/>
      <c r="H115" s="64"/>
      <c r="I115" s="64"/>
    </row>
    <row r="116" spans="7:9" ht="17.399999999999999" customHeight="1" x14ac:dyDescent="0.3">
      <c r="G116" s="64"/>
      <c r="H116" s="64"/>
      <c r="I116" s="64"/>
    </row>
    <row r="117" spans="7:9" ht="17.399999999999999" customHeight="1" x14ac:dyDescent="0.3">
      <c r="G117" s="64"/>
      <c r="H117" s="64"/>
      <c r="I117" s="64"/>
    </row>
    <row r="118" spans="7:9" ht="17.399999999999999" customHeight="1" x14ac:dyDescent="0.3">
      <c r="G118" s="64"/>
      <c r="H118" s="64"/>
      <c r="I118" s="64"/>
    </row>
    <row r="119" spans="7:9" ht="17.399999999999999" customHeight="1" x14ac:dyDescent="0.3">
      <c r="G119" s="64"/>
      <c r="H119" s="64"/>
      <c r="I119" s="64"/>
    </row>
    <row r="120" spans="7:9" ht="17.399999999999999" customHeight="1" x14ac:dyDescent="0.3">
      <c r="G120" s="64"/>
      <c r="H120" s="64"/>
      <c r="I120" s="64"/>
    </row>
    <row r="121" spans="7:9" ht="17.399999999999999" customHeight="1" x14ac:dyDescent="0.3">
      <c r="G121" s="64"/>
      <c r="H121" s="64"/>
      <c r="I121" s="64"/>
    </row>
    <row r="122" spans="7:9" ht="17.399999999999999" customHeight="1" x14ac:dyDescent="0.3">
      <c r="G122" s="64"/>
      <c r="H122" s="64"/>
      <c r="I122" s="64"/>
    </row>
    <row r="123" spans="7:9" ht="17.399999999999999" customHeight="1" x14ac:dyDescent="0.3">
      <c r="G123" s="64"/>
      <c r="H123" s="64"/>
      <c r="I123" s="64"/>
    </row>
    <row r="124" spans="7:9" ht="17.399999999999999" customHeight="1" x14ac:dyDescent="0.3">
      <c r="G124" s="64"/>
      <c r="H124" s="64"/>
      <c r="I124" s="64"/>
    </row>
    <row r="125" spans="7:9" ht="17.399999999999999" customHeight="1" x14ac:dyDescent="0.3">
      <c r="G125" s="64"/>
      <c r="H125" s="64"/>
      <c r="I125" s="64"/>
    </row>
    <row r="126" spans="7:9" ht="17.399999999999999" customHeight="1" x14ac:dyDescent="0.3">
      <c r="G126" s="64"/>
      <c r="H126" s="64"/>
      <c r="I126" s="64"/>
    </row>
    <row r="127" spans="7:9" ht="17.399999999999999" customHeight="1" x14ac:dyDescent="0.3">
      <c r="G127" s="64"/>
      <c r="H127" s="64"/>
      <c r="I127" s="64"/>
    </row>
    <row r="128" spans="7:9" ht="17.399999999999999" customHeight="1" x14ac:dyDescent="0.3">
      <c r="G128" s="64"/>
      <c r="H128" s="64"/>
      <c r="I128" s="64"/>
    </row>
    <row r="129" spans="7:9" ht="17.399999999999999" customHeight="1" x14ac:dyDescent="0.3">
      <c r="G129" s="64"/>
      <c r="H129" s="64"/>
      <c r="I129" s="64"/>
    </row>
    <row r="130" spans="7:9" ht="17.399999999999999" customHeight="1" x14ac:dyDescent="0.3">
      <c r="G130" s="64"/>
      <c r="H130" s="64"/>
      <c r="I130" s="64"/>
    </row>
    <row r="131" spans="7:9" ht="17.399999999999999" customHeight="1" x14ac:dyDescent="0.3">
      <c r="G131" s="64"/>
      <c r="H131" s="64"/>
      <c r="I131" s="64"/>
    </row>
    <row r="132" spans="7:9" ht="17.399999999999999" customHeight="1" x14ac:dyDescent="0.3">
      <c r="G132" s="64"/>
      <c r="H132" s="64"/>
      <c r="I132" s="64"/>
    </row>
    <row r="133" spans="7:9" ht="17.399999999999999" customHeight="1" x14ac:dyDescent="0.3">
      <c r="G133" s="64"/>
      <c r="H133" s="64"/>
      <c r="I133" s="64"/>
    </row>
    <row r="134" spans="7:9" ht="17.399999999999999" customHeight="1" x14ac:dyDescent="0.3">
      <c r="G134" s="64"/>
      <c r="H134" s="64"/>
      <c r="I134" s="64"/>
    </row>
    <row r="135" spans="7:9" ht="17.399999999999999" customHeight="1" x14ac:dyDescent="0.3">
      <c r="G135" s="64"/>
      <c r="H135" s="64"/>
      <c r="I135" s="64"/>
    </row>
    <row r="136" spans="7:9" ht="17.399999999999999" customHeight="1" x14ac:dyDescent="0.3">
      <c r="G136" s="64"/>
      <c r="H136" s="64"/>
      <c r="I136" s="64"/>
    </row>
    <row r="137" spans="7:9" ht="17.399999999999999" customHeight="1" x14ac:dyDescent="0.3">
      <c r="G137" s="64"/>
      <c r="H137" s="64"/>
      <c r="I137" s="64"/>
    </row>
    <row r="138" spans="7:9" ht="17.399999999999999" customHeight="1" x14ac:dyDescent="0.3">
      <c r="G138" s="64"/>
      <c r="H138" s="64"/>
      <c r="I138" s="64"/>
    </row>
    <row r="139" spans="7:9" ht="17.399999999999999" customHeight="1" x14ac:dyDescent="0.3">
      <c r="G139" s="64"/>
      <c r="H139" s="64"/>
      <c r="I139" s="64"/>
    </row>
    <row r="140" spans="7:9" ht="17.399999999999999" customHeight="1" x14ac:dyDescent="0.3">
      <c r="G140" s="64"/>
      <c r="H140" s="64"/>
      <c r="I140" s="64"/>
    </row>
    <row r="141" spans="7:9" ht="17.399999999999999" customHeight="1" x14ac:dyDescent="0.3">
      <c r="G141" s="64"/>
      <c r="H141" s="64"/>
      <c r="I141" s="64"/>
    </row>
    <row r="142" spans="7:9" ht="17.399999999999999" customHeight="1" x14ac:dyDescent="0.3">
      <c r="G142" s="64"/>
      <c r="H142" s="64"/>
      <c r="I142" s="64"/>
    </row>
  </sheetData>
  <sheetProtection sheet="1" objects="1" scenarios="1"/>
  <mergeCells count="196">
    <mergeCell ref="H98:I98"/>
    <mergeCell ref="H99:I99"/>
    <mergeCell ref="B110:E110"/>
    <mergeCell ref="B111:E111"/>
    <mergeCell ref="F100:G100"/>
    <mergeCell ref="F96:G96"/>
    <mergeCell ref="F97:G97"/>
    <mergeCell ref="F98:G98"/>
    <mergeCell ref="F99:G99"/>
    <mergeCell ref="F110:G110"/>
    <mergeCell ref="B106:E106"/>
    <mergeCell ref="B107:E107"/>
    <mergeCell ref="F106:G106"/>
    <mergeCell ref="F107:G107"/>
    <mergeCell ref="F108:G108"/>
    <mergeCell ref="F109:G109"/>
    <mergeCell ref="B109:E109"/>
    <mergeCell ref="F103:G103"/>
    <mergeCell ref="F104:G104"/>
    <mergeCell ref="B105:E105"/>
    <mergeCell ref="A102:I102"/>
    <mergeCell ref="H109:I109"/>
    <mergeCell ref="H110:I110"/>
    <mergeCell ref="H107:I107"/>
    <mergeCell ref="H97:I97"/>
    <mergeCell ref="B100:E100"/>
    <mergeCell ref="F35:G35"/>
    <mergeCell ref="B34:E34"/>
    <mergeCell ref="H32:I32"/>
    <mergeCell ref="H111:I111"/>
    <mergeCell ref="H105:I105"/>
    <mergeCell ref="H106:I106"/>
    <mergeCell ref="H24:I24"/>
    <mergeCell ref="H25:I25"/>
    <mergeCell ref="H75:I75"/>
    <mergeCell ref="A58:I58"/>
    <mergeCell ref="A59:I59"/>
    <mergeCell ref="A67:I67"/>
    <mergeCell ref="D60:H60"/>
    <mergeCell ref="F69:G69"/>
    <mergeCell ref="F70:G70"/>
    <mergeCell ref="F71:G71"/>
    <mergeCell ref="H69:I69"/>
    <mergeCell ref="B98:E98"/>
    <mergeCell ref="F111:G111"/>
    <mergeCell ref="F105:G105"/>
    <mergeCell ref="F74:G74"/>
    <mergeCell ref="F92:G92"/>
    <mergeCell ref="F93:G93"/>
    <mergeCell ref="H72:I72"/>
    <mergeCell ref="B30:E30"/>
    <mergeCell ref="B31:E31"/>
    <mergeCell ref="B32:E32"/>
    <mergeCell ref="A57:C57"/>
    <mergeCell ref="D51:H51"/>
    <mergeCell ref="H73:I73"/>
    <mergeCell ref="H74:I74"/>
    <mergeCell ref="A68:I68"/>
    <mergeCell ref="H70:I70"/>
    <mergeCell ref="A63:C63"/>
    <mergeCell ref="A64:C64"/>
    <mergeCell ref="B72:E72"/>
    <mergeCell ref="H33:I33"/>
    <mergeCell ref="H34:I34"/>
    <mergeCell ref="B35:E35"/>
    <mergeCell ref="H31:I31"/>
    <mergeCell ref="F30:G30"/>
    <mergeCell ref="F31:G31"/>
    <mergeCell ref="F32:G32"/>
    <mergeCell ref="F33:G33"/>
    <mergeCell ref="F34:G34"/>
    <mergeCell ref="A50:I50"/>
    <mergeCell ref="A36:I36"/>
    <mergeCell ref="H35:I35"/>
    <mergeCell ref="F95:G95"/>
    <mergeCell ref="H95:I95"/>
    <mergeCell ref="B95:E95"/>
    <mergeCell ref="H94:I94"/>
    <mergeCell ref="H96:I96"/>
    <mergeCell ref="F91:G91"/>
    <mergeCell ref="B73:E73"/>
    <mergeCell ref="B74:E74"/>
    <mergeCell ref="A65:C65"/>
    <mergeCell ref="A66:C66"/>
    <mergeCell ref="B69:E69"/>
    <mergeCell ref="B75:E75"/>
    <mergeCell ref="H71:I71"/>
    <mergeCell ref="B33:E33"/>
    <mergeCell ref="H108:I108"/>
    <mergeCell ref="B70:E70"/>
    <mergeCell ref="A47:I47"/>
    <mergeCell ref="A54:C54"/>
    <mergeCell ref="A55:C55"/>
    <mergeCell ref="A56:C56"/>
    <mergeCell ref="A89:I89"/>
    <mergeCell ref="B71:E71"/>
    <mergeCell ref="H103:I103"/>
    <mergeCell ref="H104:I104"/>
    <mergeCell ref="F72:G72"/>
    <mergeCell ref="F73:G73"/>
    <mergeCell ref="B99:E99"/>
    <mergeCell ref="B108:E108"/>
    <mergeCell ref="B103:E103"/>
    <mergeCell ref="B104:E104"/>
    <mergeCell ref="I60:I61"/>
    <mergeCell ref="A60:C61"/>
    <mergeCell ref="A62:C62"/>
    <mergeCell ref="H100:I100"/>
    <mergeCell ref="H91:I91"/>
    <mergeCell ref="H92:I92"/>
    <mergeCell ref="H93:I93"/>
    <mergeCell ref="F29:G29"/>
    <mergeCell ref="H28:I28"/>
    <mergeCell ref="H29:I29"/>
    <mergeCell ref="H30:I30"/>
    <mergeCell ref="A11:I11"/>
    <mergeCell ref="A20:I20"/>
    <mergeCell ref="H5:I5"/>
    <mergeCell ref="A53:C53"/>
    <mergeCell ref="A51:C52"/>
    <mergeCell ref="I51:I52"/>
    <mergeCell ref="F23:G23"/>
    <mergeCell ref="F24:G24"/>
    <mergeCell ref="H13:I13"/>
    <mergeCell ref="H14:I14"/>
    <mergeCell ref="H15:I15"/>
    <mergeCell ref="H17:I17"/>
    <mergeCell ref="H18:I18"/>
    <mergeCell ref="B25:E25"/>
    <mergeCell ref="F17:G17"/>
    <mergeCell ref="F18:G18"/>
    <mergeCell ref="B17:E17"/>
    <mergeCell ref="B18:E18"/>
    <mergeCell ref="B21:E21"/>
    <mergeCell ref="F25:G25"/>
    <mergeCell ref="F5:G5"/>
    <mergeCell ref="B5:E5"/>
    <mergeCell ref="B6:E6"/>
    <mergeCell ref="B8:E8"/>
    <mergeCell ref="B7:E7"/>
    <mergeCell ref="F13:G13"/>
    <mergeCell ref="F14:G14"/>
    <mergeCell ref="F15:G15"/>
    <mergeCell ref="B24:E24"/>
    <mergeCell ref="F21:G21"/>
    <mergeCell ref="F22:G22"/>
    <mergeCell ref="B16:E16"/>
    <mergeCell ref="F16:G16"/>
    <mergeCell ref="H22:I22"/>
    <mergeCell ref="H23:I23"/>
    <mergeCell ref="B22:E22"/>
    <mergeCell ref="A101:I101"/>
    <mergeCell ref="A90:I90"/>
    <mergeCell ref="F94:G94"/>
    <mergeCell ref="F75:G75"/>
    <mergeCell ref="A87:I87"/>
    <mergeCell ref="A88:I88"/>
    <mergeCell ref="B91:E91"/>
    <mergeCell ref="B92:E92"/>
    <mergeCell ref="B93:E93"/>
    <mergeCell ref="B94:E94"/>
    <mergeCell ref="B96:E96"/>
    <mergeCell ref="B97:E97"/>
    <mergeCell ref="A76:I76"/>
    <mergeCell ref="A49:I49"/>
    <mergeCell ref="A46:I46"/>
    <mergeCell ref="A48:I48"/>
    <mergeCell ref="A27:I27"/>
    <mergeCell ref="A26:I26"/>
    <mergeCell ref="B28:E28"/>
    <mergeCell ref="B29:E29"/>
    <mergeCell ref="F28:G28"/>
    <mergeCell ref="H16:I16"/>
    <mergeCell ref="A1:I1"/>
    <mergeCell ref="A2:I2"/>
    <mergeCell ref="A3:I3"/>
    <mergeCell ref="B23:E23"/>
    <mergeCell ref="H9:I9"/>
    <mergeCell ref="H10:I10"/>
    <mergeCell ref="F10:G10"/>
    <mergeCell ref="F6:G6"/>
    <mergeCell ref="F8:G8"/>
    <mergeCell ref="F9:G9"/>
    <mergeCell ref="H7:I7"/>
    <mergeCell ref="F7:G7"/>
    <mergeCell ref="B9:E9"/>
    <mergeCell ref="B10:E10"/>
    <mergeCell ref="B13:E13"/>
    <mergeCell ref="B14:E14"/>
    <mergeCell ref="B15:E15"/>
    <mergeCell ref="A4:I4"/>
    <mergeCell ref="A12:I12"/>
    <mergeCell ref="A19:I19"/>
    <mergeCell ref="H6:I6"/>
    <mergeCell ref="H8:I8"/>
    <mergeCell ref="H21:I21"/>
  </mergeCells>
  <pageMargins left="0.59055118110236227" right="0.59055118110236227" top="0.78740157480314965" bottom="0.78740157480314965" header="0" footer="0"/>
  <pageSetup paperSize="9" scale="8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42"/>
  <sheetViews>
    <sheetView showGridLines="0" view="pageBreakPreview" zoomScaleNormal="100" zoomScaleSheetLayoutView="100" workbookViewId="0">
      <selection activeCell="C11" sqref="C11"/>
    </sheetView>
  </sheetViews>
  <sheetFormatPr defaultColWidth="9.109375" defaultRowHeight="17.399999999999999" customHeight="1" x14ac:dyDescent="0.3"/>
  <cols>
    <col min="1" max="1" width="6.6640625" style="34" customWidth="1"/>
    <col min="2" max="2" width="52.6640625" style="31" customWidth="1"/>
    <col min="3" max="4" width="21.6640625" style="43" customWidth="1"/>
    <col min="5" max="5" width="21.6640625" style="31" customWidth="1"/>
    <col min="6" max="6" width="3.33203125" style="31" customWidth="1"/>
    <col min="7" max="7" width="29.6640625" style="31" bestFit="1" customWidth="1"/>
    <col min="8" max="8" width="19.109375" style="31" bestFit="1" customWidth="1"/>
    <col min="9" max="9" width="25.5546875" style="31" bestFit="1" customWidth="1"/>
    <col min="10" max="10" width="13.109375" style="31" bestFit="1" customWidth="1"/>
    <col min="11" max="11" width="24.44140625" style="31" bestFit="1" customWidth="1"/>
    <col min="12" max="12" width="13.88671875" style="31" bestFit="1" customWidth="1"/>
    <col min="13" max="13" width="9.109375" style="31"/>
    <col min="14" max="14" width="10.5546875" style="31" bestFit="1" customWidth="1"/>
    <col min="15" max="16384" width="9.109375" style="31"/>
  </cols>
  <sheetData>
    <row r="1" spans="1:9" ht="17.399999999999999" customHeight="1" x14ac:dyDescent="0.3">
      <c r="A1" s="365" t="str">
        <f>+'Note 4 - SOCES'!A1:G1</f>
        <v>PROGEN RENEWABLES LIMITED</v>
      </c>
      <c r="B1" s="365"/>
      <c r="C1" s="365"/>
      <c r="D1" s="365"/>
    </row>
    <row r="2" spans="1:9" ht="17.399999999999999" customHeight="1" thickBot="1" x14ac:dyDescent="0.35">
      <c r="A2" s="426" t="str">
        <f>+'Note 4 - SOCES'!A2:G2</f>
        <v>Notes Forming Part of the Financial Statements for the year ended 31th March 2025</v>
      </c>
      <c r="B2" s="426"/>
      <c r="C2" s="426"/>
      <c r="D2" s="426"/>
    </row>
    <row r="3" spans="1:9" ht="18" customHeight="1" x14ac:dyDescent="0.3">
      <c r="A3" s="363"/>
      <c r="B3" s="363"/>
      <c r="C3" s="363"/>
      <c r="D3" s="363"/>
    </row>
    <row r="4" spans="1:9" ht="17.399999999999999" customHeight="1" thickBot="1" x14ac:dyDescent="0.35">
      <c r="A4" s="665" t="s">
        <v>1084</v>
      </c>
      <c r="B4" s="665"/>
      <c r="C4" s="665"/>
      <c r="D4" s="665"/>
    </row>
    <row r="5" spans="1:9" ht="36" customHeight="1" x14ac:dyDescent="0.3">
      <c r="A5" s="41" t="s">
        <v>60</v>
      </c>
      <c r="B5" s="330" t="s">
        <v>0</v>
      </c>
      <c r="C5" s="60" t="s">
        <v>1</v>
      </c>
      <c r="D5" s="276" t="s">
        <v>2</v>
      </c>
      <c r="E5" s="122" t="s">
        <v>467</v>
      </c>
      <c r="F5" s="122"/>
    </row>
    <row r="6" spans="1:9" ht="17.399999999999999" customHeight="1" x14ac:dyDescent="0.3">
      <c r="A6" s="32">
        <v>1</v>
      </c>
      <c r="B6" s="331" t="s">
        <v>1058</v>
      </c>
      <c r="C6" s="53">
        <f>840845908+488641923</f>
        <v>1329487831</v>
      </c>
      <c r="D6" s="48">
        <f>742589031+371250191</f>
        <v>1113839222</v>
      </c>
      <c r="E6" s="39">
        <f>336702091+227193833</f>
        <v>563895924</v>
      </c>
      <c r="F6" s="64"/>
      <c r="G6" s="39"/>
      <c r="H6" s="40"/>
    </row>
    <row r="7" spans="1:9" ht="17.399999999999999" customHeight="1" x14ac:dyDescent="0.3">
      <c r="A7" s="32">
        <v>3</v>
      </c>
      <c r="B7" s="331" t="s">
        <v>1001</v>
      </c>
      <c r="C7" s="11">
        <f>12034300+2264170</f>
        <v>14298470</v>
      </c>
      <c r="D7" s="12">
        <v>0</v>
      </c>
      <c r="E7" s="39">
        <v>19750</v>
      </c>
      <c r="F7" s="64"/>
      <c r="G7" s="40"/>
      <c r="H7" s="40"/>
    </row>
    <row r="8" spans="1:9" ht="17.399999999999999" customHeight="1" x14ac:dyDescent="0.3">
      <c r="A8" s="32">
        <v>4</v>
      </c>
      <c r="B8" s="331" t="s">
        <v>144</v>
      </c>
      <c r="C8" s="11">
        <f>2460000+163600+2360</f>
        <v>2625960</v>
      </c>
      <c r="D8" s="12">
        <f>2418750+33100</f>
        <v>2451850</v>
      </c>
      <c r="E8" s="39">
        <f>1000000+79000+63170</f>
        <v>1142170</v>
      </c>
      <c r="F8" s="64"/>
    </row>
    <row r="9" spans="1:9" ht="17.399999999999999" customHeight="1" thickBot="1" x14ac:dyDescent="0.35">
      <c r="A9" s="32"/>
      <c r="B9" s="332" t="s">
        <v>145</v>
      </c>
      <c r="C9" s="13">
        <f>SUM(C6:C8)</f>
        <v>1346412261</v>
      </c>
      <c r="D9" s="19">
        <f>SUM(D6:D8)</f>
        <v>1116291072</v>
      </c>
      <c r="E9" s="196">
        <f>SUM(E6:E8)</f>
        <v>565057844</v>
      </c>
      <c r="F9" s="277"/>
      <c r="I9" s="39" t="s">
        <v>7</v>
      </c>
    </row>
    <row r="10" spans="1:9" ht="17.399999999999999" customHeight="1" thickTop="1" x14ac:dyDescent="0.3">
      <c r="A10" s="32"/>
      <c r="B10" s="333" t="s">
        <v>28</v>
      </c>
      <c r="C10" s="10"/>
      <c r="D10" s="12"/>
      <c r="I10" s="39" t="s">
        <v>7</v>
      </c>
    </row>
    <row r="11" spans="1:9" ht="17.399999999999999" customHeight="1" x14ac:dyDescent="0.3">
      <c r="A11" s="32">
        <v>1</v>
      </c>
      <c r="B11" s="331" t="s">
        <v>815</v>
      </c>
      <c r="C11" s="11">
        <f>+C9</f>
        <v>1346412261</v>
      </c>
      <c r="D11" s="12">
        <f>+D9</f>
        <v>1116291072</v>
      </c>
      <c r="E11" s="39">
        <f>+E9</f>
        <v>565057844</v>
      </c>
      <c r="F11" s="64"/>
      <c r="I11" s="39" t="s">
        <v>7</v>
      </c>
    </row>
    <row r="12" spans="1:9" ht="17.399999999999999" customHeight="1" x14ac:dyDescent="0.3">
      <c r="A12" s="198">
        <v>2</v>
      </c>
      <c r="B12" s="334" t="s">
        <v>29</v>
      </c>
      <c r="C12" s="50">
        <v>0</v>
      </c>
      <c r="D12" s="51">
        <v>0</v>
      </c>
      <c r="E12" s="39">
        <v>0</v>
      </c>
      <c r="F12" s="64"/>
      <c r="I12" s="39" t="s">
        <v>7</v>
      </c>
    </row>
    <row r="13" spans="1:9" ht="17.399999999999999" customHeight="1" thickBot="1" x14ac:dyDescent="0.35">
      <c r="A13" s="33"/>
      <c r="B13" s="335" t="s">
        <v>816</v>
      </c>
      <c r="C13" s="63">
        <f>SUM(C11:C12)</f>
        <v>1346412261</v>
      </c>
      <c r="D13" s="117">
        <f>SUM(D11:D12)</f>
        <v>1116291072</v>
      </c>
      <c r="E13" s="253">
        <f>SUM(E11:E12)</f>
        <v>565057844</v>
      </c>
      <c r="F13" s="106"/>
      <c r="G13" s="39" t="s">
        <v>7</v>
      </c>
      <c r="I13" s="39" t="s">
        <v>7</v>
      </c>
    </row>
    <row r="14" spans="1:9" ht="17.399999999999999" customHeight="1" x14ac:dyDescent="0.3">
      <c r="A14" s="370"/>
      <c r="B14" s="370"/>
      <c r="C14" s="370"/>
      <c r="D14" s="370"/>
      <c r="I14" s="39" t="s">
        <v>7</v>
      </c>
    </row>
    <row r="15" spans="1:9" ht="17.399999999999999" customHeight="1" thickBot="1" x14ac:dyDescent="0.35">
      <c r="A15" s="649" t="s">
        <v>1085</v>
      </c>
      <c r="B15" s="649"/>
      <c r="C15" s="649"/>
      <c r="D15" s="649"/>
      <c r="I15" s="40" t="s">
        <v>7</v>
      </c>
    </row>
    <row r="16" spans="1:9" ht="36" customHeight="1" x14ac:dyDescent="0.3">
      <c r="A16" s="41" t="s">
        <v>60</v>
      </c>
      <c r="B16" s="330" t="s">
        <v>0</v>
      </c>
      <c r="C16" s="60" t="s">
        <v>1</v>
      </c>
      <c r="D16" s="276" t="s">
        <v>2</v>
      </c>
      <c r="E16" s="122" t="s">
        <v>467</v>
      </c>
      <c r="F16" s="122"/>
      <c r="I16" s="31" t="s">
        <v>7</v>
      </c>
    </row>
    <row r="17" spans="1:9" ht="17.399999999999999" customHeight="1" x14ac:dyDescent="0.3">
      <c r="A17" s="32">
        <v>1</v>
      </c>
      <c r="B17" s="331" t="s">
        <v>798</v>
      </c>
      <c r="C17" s="53">
        <v>501000</v>
      </c>
      <c r="D17" s="48">
        <v>321740</v>
      </c>
      <c r="E17" s="39">
        <v>0</v>
      </c>
      <c r="F17" s="64"/>
      <c r="I17" s="40" t="s">
        <v>7</v>
      </c>
    </row>
    <row r="18" spans="1:9" ht="17.399999999999999" customHeight="1" x14ac:dyDescent="0.3">
      <c r="A18" s="32">
        <v>2</v>
      </c>
      <c r="B18" s="331" t="s">
        <v>502</v>
      </c>
      <c r="C18" s="53">
        <f>299009</f>
        <v>299009</v>
      </c>
      <c r="D18" s="48">
        <v>0</v>
      </c>
      <c r="E18" s="39">
        <v>0</v>
      </c>
      <c r="F18" s="64"/>
      <c r="I18" s="40" t="s">
        <v>7</v>
      </c>
    </row>
    <row r="19" spans="1:9" ht="17.399999999999999" customHeight="1" x14ac:dyDescent="0.3">
      <c r="A19" s="32">
        <v>3</v>
      </c>
      <c r="B19" s="333" t="s">
        <v>817</v>
      </c>
      <c r="C19" s="53"/>
      <c r="D19" s="48"/>
      <c r="E19" s="39"/>
      <c r="F19" s="64"/>
      <c r="I19" s="40" t="s">
        <v>7</v>
      </c>
    </row>
    <row r="20" spans="1:9" ht="17.399999999999999" customHeight="1" x14ac:dyDescent="0.3">
      <c r="A20" s="32"/>
      <c r="B20" s="331" t="s">
        <v>399</v>
      </c>
      <c r="C20" s="53">
        <v>10943</v>
      </c>
      <c r="D20" s="48">
        <v>16534</v>
      </c>
      <c r="E20" s="39">
        <v>0</v>
      </c>
      <c r="F20" s="64"/>
      <c r="I20" s="31" t="s">
        <v>7</v>
      </c>
    </row>
    <row r="21" spans="1:9" ht="17.399999999999999" customHeight="1" x14ac:dyDescent="0.3">
      <c r="A21" s="32"/>
      <c r="B21" s="331" t="s">
        <v>799</v>
      </c>
      <c r="C21" s="53">
        <v>65556</v>
      </c>
      <c r="D21" s="48">
        <v>0</v>
      </c>
      <c r="E21" s="39">
        <v>0</v>
      </c>
      <c r="F21" s="64"/>
    </row>
    <row r="22" spans="1:9" ht="9.6" customHeight="1" x14ac:dyDescent="0.3">
      <c r="A22" s="198" t="s">
        <v>7</v>
      </c>
      <c r="B22" s="334" t="s">
        <v>7</v>
      </c>
      <c r="C22" s="54" t="s">
        <v>7</v>
      </c>
      <c r="D22" s="47" t="s">
        <v>7</v>
      </c>
      <c r="E22" s="39"/>
      <c r="F22" s="64"/>
    </row>
    <row r="23" spans="1:9" ht="17.399999999999999" customHeight="1" thickBot="1" x14ac:dyDescent="0.35">
      <c r="A23" s="33"/>
      <c r="B23" s="335" t="s">
        <v>18</v>
      </c>
      <c r="C23" s="63">
        <f>SUM(C17:C22)</f>
        <v>876508</v>
      </c>
      <c r="D23" s="117">
        <f>SUM(D17:D22)</f>
        <v>338274</v>
      </c>
      <c r="E23" s="190">
        <f>SUM(E17:E22)</f>
        <v>0</v>
      </c>
      <c r="F23" s="277"/>
      <c r="G23" s="31" t="s">
        <v>7</v>
      </c>
    </row>
    <row r="24" spans="1:9" ht="17.399999999999999" customHeight="1" x14ac:dyDescent="0.3">
      <c r="A24" s="370"/>
      <c r="B24" s="370"/>
      <c r="C24" s="370"/>
      <c r="D24" s="370"/>
    </row>
    <row r="25" spans="1:9" ht="17.399999999999999" customHeight="1" thickBot="1" x14ac:dyDescent="0.35">
      <c r="A25" s="364" t="s">
        <v>1086</v>
      </c>
      <c r="B25" s="364"/>
      <c r="C25" s="364"/>
      <c r="D25" s="364"/>
    </row>
    <row r="26" spans="1:9" ht="36" customHeight="1" x14ac:dyDescent="0.3">
      <c r="A26" s="41" t="s">
        <v>60</v>
      </c>
      <c r="B26" s="327" t="s">
        <v>0</v>
      </c>
      <c r="C26" s="60" t="s">
        <v>1</v>
      </c>
      <c r="D26" s="276" t="s">
        <v>2</v>
      </c>
      <c r="E26" s="122" t="s">
        <v>467</v>
      </c>
      <c r="F26" s="122"/>
    </row>
    <row r="27" spans="1:9" ht="18" customHeight="1" x14ac:dyDescent="0.3">
      <c r="A27" s="32">
        <v>1</v>
      </c>
      <c r="B27" s="336" t="s">
        <v>461</v>
      </c>
      <c r="C27" s="123"/>
      <c r="D27" s="124"/>
      <c r="E27" s="122"/>
      <c r="F27" s="122"/>
    </row>
    <row r="28" spans="1:9" ht="17.399999999999999" customHeight="1" x14ac:dyDescent="0.3">
      <c r="A28" s="32" t="s">
        <v>7</v>
      </c>
      <c r="B28" s="336" t="s">
        <v>800</v>
      </c>
      <c r="C28" s="11">
        <f>248559362+29932624+2249286+167581732+145854519+2275853</f>
        <v>596453376</v>
      </c>
      <c r="D28" s="12">
        <v>575029597</v>
      </c>
      <c r="E28" s="39">
        <v>321635156</v>
      </c>
      <c r="F28" s="64"/>
      <c r="G28" s="40" t="s">
        <v>7</v>
      </c>
    </row>
    <row r="29" spans="1:9" ht="17.399999999999999" customHeight="1" x14ac:dyDescent="0.3">
      <c r="A29" s="32" t="s">
        <v>7</v>
      </c>
      <c r="B29" s="336" t="s">
        <v>801</v>
      </c>
      <c r="C29" s="11">
        <v>42680536</v>
      </c>
      <c r="D29" s="12">
        <v>66364367</v>
      </c>
      <c r="E29" s="39">
        <v>0</v>
      </c>
      <c r="F29" s="64"/>
    </row>
    <row r="30" spans="1:9" ht="17.399999999999999" customHeight="1" x14ac:dyDescent="0.3">
      <c r="A30" s="32">
        <v>2</v>
      </c>
      <c r="B30" s="336" t="s">
        <v>1002</v>
      </c>
      <c r="C30" s="11">
        <v>74138272</v>
      </c>
      <c r="D30" s="12">
        <v>49138475</v>
      </c>
      <c r="E30" s="39">
        <v>0</v>
      </c>
      <c r="F30" s="64"/>
    </row>
    <row r="31" spans="1:9" ht="9" customHeight="1" x14ac:dyDescent="0.3">
      <c r="A31" s="198"/>
      <c r="B31" s="337"/>
      <c r="C31" s="50"/>
      <c r="D31" s="51"/>
      <c r="E31" s="39"/>
      <c r="F31" s="64"/>
    </row>
    <row r="32" spans="1:9" ht="17.399999999999999" customHeight="1" thickBot="1" x14ac:dyDescent="0.35">
      <c r="A32" s="33"/>
      <c r="B32" s="338" t="s">
        <v>63</v>
      </c>
      <c r="C32" s="63">
        <f>SUM(C27:C31)</f>
        <v>713272184</v>
      </c>
      <c r="D32" s="117">
        <f>SUM(D27:D31)</f>
        <v>690532439</v>
      </c>
      <c r="E32" s="190">
        <f>SUM(E27:E31)</f>
        <v>321635156</v>
      </c>
      <c r="F32" s="277"/>
    </row>
    <row r="33" spans="1:9" ht="17.399999999999999" customHeight="1" x14ac:dyDescent="0.3">
      <c r="B33" s="339"/>
      <c r="C33" s="44"/>
      <c r="D33" s="44"/>
    </row>
    <row r="34" spans="1:9" ht="17.399999999999999" customHeight="1" thickBot="1" x14ac:dyDescent="0.35">
      <c r="A34" s="677" t="s">
        <v>1087</v>
      </c>
      <c r="B34" s="677"/>
      <c r="C34" s="677"/>
      <c r="D34" s="677"/>
    </row>
    <row r="35" spans="1:9" ht="36" customHeight="1" x14ac:dyDescent="0.3">
      <c r="A35" s="41" t="s">
        <v>60</v>
      </c>
      <c r="B35" s="15" t="s">
        <v>0</v>
      </c>
      <c r="C35" s="274" t="str">
        <f>+C5</f>
        <v>For the year ended March 31, 2025</v>
      </c>
      <c r="D35" s="275" t="s">
        <v>2</v>
      </c>
      <c r="E35" s="122" t="str">
        <f>+E26</f>
        <v>For the year ended March 31, 2023</v>
      </c>
      <c r="F35" s="122"/>
    </row>
    <row r="36" spans="1:9" ht="17.399999999999999" customHeight="1" x14ac:dyDescent="0.3">
      <c r="A36" s="32"/>
      <c r="B36" s="340" t="s">
        <v>234</v>
      </c>
      <c r="C36" s="65" t="s">
        <v>7</v>
      </c>
      <c r="D36" s="48" t="s">
        <v>7</v>
      </c>
      <c r="E36" s="39"/>
      <c r="F36" s="64"/>
    </row>
    <row r="37" spans="1:9" ht="17.399999999999999" customHeight="1" x14ac:dyDescent="0.3">
      <c r="A37" s="32"/>
      <c r="B37" s="341" t="s">
        <v>809</v>
      </c>
      <c r="C37" s="53">
        <f>+D40</f>
        <v>112014200</v>
      </c>
      <c r="D37" s="48">
        <f>+E40</f>
        <v>257149228</v>
      </c>
      <c r="E37" s="39">
        <v>417707050</v>
      </c>
      <c r="F37" s="64"/>
    </row>
    <row r="38" spans="1:9" ht="17.399999999999999" customHeight="1" x14ac:dyDescent="0.3">
      <c r="A38" s="32"/>
      <c r="B38" s="341" t="s">
        <v>984</v>
      </c>
      <c r="C38" s="53">
        <f>+D41</f>
        <v>5000000</v>
      </c>
      <c r="D38" s="48">
        <f>+E41</f>
        <v>0</v>
      </c>
      <c r="E38" s="39">
        <v>0</v>
      </c>
      <c r="F38" s="64"/>
      <c r="G38" s="31" t="s">
        <v>7</v>
      </c>
    </row>
    <row r="39" spans="1:9" ht="17.399999999999999" customHeight="1" x14ac:dyDescent="0.3">
      <c r="A39" s="32"/>
      <c r="B39" s="328" t="s">
        <v>235</v>
      </c>
      <c r="C39" s="53" t="s">
        <v>7</v>
      </c>
      <c r="D39" s="48" t="s">
        <v>7</v>
      </c>
      <c r="E39" s="39"/>
      <c r="F39" s="64"/>
    </row>
    <row r="40" spans="1:9" ht="17.399999999999999" customHeight="1" x14ac:dyDescent="0.3">
      <c r="A40" s="32"/>
      <c r="B40" s="341" t="s">
        <v>809</v>
      </c>
      <c r="C40" s="53">
        <v>1141959</v>
      </c>
      <c r="D40" s="48">
        <v>112014200</v>
      </c>
      <c r="E40" s="39">
        <v>257149228</v>
      </c>
      <c r="F40" s="64"/>
    </row>
    <row r="41" spans="1:9" ht="17.399999999999999" customHeight="1" x14ac:dyDescent="0.3">
      <c r="A41" s="32"/>
      <c r="B41" s="341" t="s">
        <v>984</v>
      </c>
      <c r="C41" s="53">
        <v>37184026</v>
      </c>
      <c r="D41" s="48">
        <v>5000000</v>
      </c>
      <c r="E41" s="39">
        <v>0</v>
      </c>
      <c r="F41" s="64"/>
      <c r="G41" s="39"/>
      <c r="H41" s="40"/>
    </row>
    <row r="42" spans="1:9" ht="9.6" customHeight="1" x14ac:dyDescent="0.3">
      <c r="A42" s="198"/>
      <c r="B42" s="342"/>
      <c r="C42" s="54"/>
      <c r="D42" s="47"/>
      <c r="E42" s="39"/>
      <c r="F42" s="64"/>
    </row>
    <row r="43" spans="1:9" ht="17.399999999999999" customHeight="1" thickBot="1" x14ac:dyDescent="0.35">
      <c r="A43" s="33"/>
      <c r="B43" s="16" t="s">
        <v>197</v>
      </c>
      <c r="C43" s="57">
        <f>+C37+C38-C40-C41</f>
        <v>78688215</v>
      </c>
      <c r="D43" s="155">
        <f>+D37+D38-D40-D41</f>
        <v>140135028</v>
      </c>
      <c r="E43" s="156">
        <f>+E37+E38-E40-E41</f>
        <v>160557822</v>
      </c>
      <c r="F43" s="278"/>
      <c r="G43" s="40"/>
      <c r="H43" s="39"/>
      <c r="I43" s="31" t="s">
        <v>7</v>
      </c>
    </row>
    <row r="44" spans="1:9" ht="17.399999999999999" customHeight="1" x14ac:dyDescent="0.3">
      <c r="A44" s="370"/>
      <c r="B44" s="370"/>
      <c r="C44" s="370"/>
      <c r="D44" s="370"/>
      <c r="G44" s="40" t="s">
        <v>7</v>
      </c>
      <c r="H44" s="40"/>
    </row>
    <row r="45" spans="1:9" ht="17.399999999999999" customHeight="1" x14ac:dyDescent="0.3">
      <c r="A45" s="364" t="s">
        <v>437</v>
      </c>
      <c r="B45" s="364"/>
      <c r="C45" s="364"/>
      <c r="D45" s="364"/>
      <c r="G45" s="40"/>
      <c r="H45" s="40"/>
    </row>
    <row r="46" spans="1:9" ht="17.399999999999999" customHeight="1" thickBot="1" x14ac:dyDescent="0.35">
      <c r="A46" s="426" t="s">
        <v>272</v>
      </c>
      <c r="B46" s="426"/>
      <c r="C46" s="426"/>
      <c r="D46" s="426"/>
      <c r="G46" s="40"/>
      <c r="H46" s="40"/>
    </row>
    <row r="47" spans="1:9" ht="17.399999999999999" customHeight="1" x14ac:dyDescent="0.3">
      <c r="A47" s="81"/>
      <c r="B47" s="81"/>
      <c r="C47" s="81"/>
      <c r="D47" s="81"/>
      <c r="G47" s="40"/>
      <c r="H47" s="40"/>
    </row>
    <row r="48" spans="1:9" ht="17.399999999999999" customHeight="1" thickBot="1" x14ac:dyDescent="0.35">
      <c r="A48" s="438" t="s">
        <v>1088</v>
      </c>
      <c r="B48" s="438"/>
      <c r="C48" s="438"/>
      <c r="D48" s="438"/>
    </row>
    <row r="49" spans="1:8" ht="36" customHeight="1" x14ac:dyDescent="0.3">
      <c r="A49" s="35" t="s">
        <v>60</v>
      </c>
      <c r="B49" s="15" t="s">
        <v>0</v>
      </c>
      <c r="C49" s="56" t="str">
        <f>+C5</f>
        <v>For the year ended March 31, 2025</v>
      </c>
      <c r="D49" s="275" t="s">
        <v>2</v>
      </c>
      <c r="E49" s="122" t="str">
        <f>+E35</f>
        <v>For the year ended March 31, 2023</v>
      </c>
      <c r="F49" s="122"/>
    </row>
    <row r="50" spans="1:8" ht="17.399999999999999" customHeight="1" x14ac:dyDescent="0.3">
      <c r="A50" s="32">
        <v>1</v>
      </c>
      <c r="B50" s="17" t="s">
        <v>196</v>
      </c>
      <c r="C50" s="53">
        <f>543058+13452+12600821+527417+57431+350000</f>
        <v>14092179</v>
      </c>
      <c r="D50" s="48">
        <f>8212499+168145+8862+404881</f>
        <v>8794387</v>
      </c>
      <c r="E50" s="39">
        <f>9748630+515500</f>
        <v>10264130</v>
      </c>
      <c r="F50" s="64"/>
    </row>
    <row r="51" spans="1:8" ht="17.399999999999999" customHeight="1" x14ac:dyDescent="0.3">
      <c r="A51" s="32">
        <v>2</v>
      </c>
      <c r="B51" s="69" t="s">
        <v>402</v>
      </c>
      <c r="C51" s="53" t="s">
        <v>7</v>
      </c>
      <c r="D51" s="48" t="s">
        <v>7</v>
      </c>
      <c r="E51" s="39"/>
      <c r="F51" s="64"/>
    </row>
    <row r="52" spans="1:8" ht="17.399999999999999" customHeight="1" x14ac:dyDescent="0.3">
      <c r="A52" s="32"/>
      <c r="B52" s="17" t="s">
        <v>371</v>
      </c>
      <c r="C52" s="53">
        <v>58173</v>
      </c>
      <c r="D52" s="48">
        <v>38317</v>
      </c>
      <c r="E52" s="39">
        <v>465926</v>
      </c>
      <c r="F52" s="64"/>
      <c r="G52" s="40"/>
      <c r="H52" s="40"/>
    </row>
    <row r="53" spans="1:8" ht="17.399999999999999" customHeight="1" x14ac:dyDescent="0.3">
      <c r="A53" s="32"/>
      <c r="B53" s="17" t="s">
        <v>372</v>
      </c>
      <c r="C53" s="53">
        <v>565690</v>
      </c>
      <c r="D53" s="48">
        <v>421752</v>
      </c>
      <c r="E53" s="39">
        <v>0</v>
      </c>
      <c r="F53" s="64"/>
    </row>
    <row r="54" spans="1:8" ht="17.399999999999999" customHeight="1" x14ac:dyDescent="0.3">
      <c r="A54" s="32">
        <v>3</v>
      </c>
      <c r="B54" s="17" t="s">
        <v>369</v>
      </c>
      <c r="C54" s="53">
        <v>380000</v>
      </c>
      <c r="D54" s="48">
        <v>0</v>
      </c>
      <c r="E54" s="39">
        <v>0</v>
      </c>
      <c r="F54" s="64"/>
    </row>
    <row r="55" spans="1:8" ht="17.399999999999999" customHeight="1" x14ac:dyDescent="0.3">
      <c r="A55" s="32">
        <v>4</v>
      </c>
      <c r="B55" s="17" t="s">
        <v>370</v>
      </c>
      <c r="C55" s="53">
        <v>1021268</v>
      </c>
      <c r="D55" s="48">
        <v>0</v>
      </c>
      <c r="E55" s="39">
        <v>0</v>
      </c>
      <c r="F55" s="64"/>
      <c r="H55" s="40"/>
    </row>
    <row r="56" spans="1:8" ht="17.399999999999999" customHeight="1" x14ac:dyDescent="0.3">
      <c r="A56" s="32">
        <v>5</v>
      </c>
      <c r="B56" s="17" t="s">
        <v>1060</v>
      </c>
      <c r="C56" s="53">
        <v>1204777</v>
      </c>
      <c r="D56" s="48">
        <v>0</v>
      </c>
      <c r="E56" s="39">
        <v>0</v>
      </c>
      <c r="F56" s="64"/>
      <c r="H56" s="40"/>
    </row>
    <row r="57" spans="1:8" ht="17.399999999999999" customHeight="1" x14ac:dyDescent="0.3">
      <c r="A57" s="32">
        <v>6</v>
      </c>
      <c r="B57" s="17" t="s">
        <v>229</v>
      </c>
      <c r="C57" s="53">
        <v>7350000</v>
      </c>
      <c r="D57" s="48">
        <v>0</v>
      </c>
      <c r="E57" s="39">
        <f>1500000+2200000</f>
        <v>3700000</v>
      </c>
      <c r="F57" s="64"/>
    </row>
    <row r="58" spans="1:8" ht="17.399999999999999" customHeight="1" x14ac:dyDescent="0.3">
      <c r="A58" s="32">
        <v>7</v>
      </c>
      <c r="B58" s="17" t="s">
        <v>796</v>
      </c>
      <c r="C58" s="53">
        <f>3962864+300+5430</f>
        <v>3968594</v>
      </c>
      <c r="D58" s="48">
        <v>2357512</v>
      </c>
      <c r="E58" s="39">
        <f>2525109+3400</f>
        <v>2528509</v>
      </c>
      <c r="F58" s="64"/>
    </row>
    <row r="59" spans="1:8" ht="17.399999999999999" customHeight="1" x14ac:dyDescent="0.3">
      <c r="A59" s="198"/>
      <c r="B59" s="18" t="s">
        <v>7</v>
      </c>
      <c r="C59" s="54" t="s">
        <v>7</v>
      </c>
      <c r="D59" s="47" t="s">
        <v>7</v>
      </c>
      <c r="E59" s="39"/>
      <c r="F59" s="64"/>
    </row>
    <row r="60" spans="1:8" ht="17.399999999999999" customHeight="1" thickBot="1" x14ac:dyDescent="0.35">
      <c r="A60" s="33" t="s">
        <v>7</v>
      </c>
      <c r="B60" s="16" t="s">
        <v>18</v>
      </c>
      <c r="C60" s="57">
        <f>SUM(C50:C59)</f>
        <v>28640681</v>
      </c>
      <c r="D60" s="49">
        <f>SUM(D50:D59)</f>
        <v>11611968</v>
      </c>
      <c r="E60" s="190">
        <f>SUM(E50:E59)</f>
        <v>16958565</v>
      </c>
      <c r="F60" s="277"/>
      <c r="G60" s="31" t="s">
        <v>7</v>
      </c>
    </row>
    <row r="61" spans="1:8" ht="17.399999999999999" customHeight="1" x14ac:dyDescent="0.3">
      <c r="A61" s="671"/>
      <c r="B61" s="671"/>
      <c r="C61" s="671"/>
      <c r="D61" s="671"/>
    </row>
    <row r="62" spans="1:8" ht="17.399999999999999" customHeight="1" thickBot="1" x14ac:dyDescent="0.35">
      <c r="A62" s="402" t="s">
        <v>1089</v>
      </c>
      <c r="B62" s="402"/>
      <c r="C62" s="402"/>
      <c r="D62" s="402"/>
    </row>
    <row r="63" spans="1:8" ht="36" customHeight="1" x14ac:dyDescent="0.3">
      <c r="A63" s="41" t="s">
        <v>60</v>
      </c>
      <c r="B63" s="15" t="s">
        <v>0</v>
      </c>
      <c r="C63" s="56" t="str">
        <f>+C5</f>
        <v>For the year ended March 31, 2025</v>
      </c>
      <c r="D63" s="275" t="s">
        <v>2</v>
      </c>
      <c r="E63" s="122" t="str">
        <f>+E49</f>
        <v>For the year ended March 31, 2023</v>
      </c>
      <c r="F63" s="122"/>
    </row>
    <row r="64" spans="1:8" ht="17.399999999999999" customHeight="1" x14ac:dyDescent="0.3">
      <c r="A64" s="32">
        <v>1</v>
      </c>
      <c r="B64" s="341" t="s">
        <v>30</v>
      </c>
      <c r="C64" s="11">
        <f>33047+27715+78126</f>
        <v>138888</v>
      </c>
      <c r="D64" s="12">
        <v>807688</v>
      </c>
      <c r="E64" s="39">
        <v>23705</v>
      </c>
      <c r="F64" s="64"/>
    </row>
    <row r="65" spans="1:6" ht="17.399999999999999" customHeight="1" x14ac:dyDescent="0.3">
      <c r="A65" s="32">
        <v>2</v>
      </c>
      <c r="B65" s="341" t="s">
        <v>373</v>
      </c>
      <c r="C65" s="11">
        <v>2496632</v>
      </c>
      <c r="D65" s="12">
        <f>228943+89952+777133</f>
        <v>1096028</v>
      </c>
      <c r="E65" s="39">
        <f>148062+117753</f>
        <v>265815</v>
      </c>
      <c r="F65" s="64"/>
    </row>
    <row r="66" spans="1:6" ht="17.399999999999999" customHeight="1" x14ac:dyDescent="0.3">
      <c r="A66" s="32">
        <v>3</v>
      </c>
      <c r="B66" s="341" t="s">
        <v>374</v>
      </c>
      <c r="C66" s="11">
        <f>976</f>
        <v>976</v>
      </c>
      <c r="D66" s="12">
        <f>64261+75000</f>
        <v>139261</v>
      </c>
      <c r="E66" s="39">
        <v>0</v>
      </c>
      <c r="F66" s="64"/>
    </row>
    <row r="67" spans="1:6" ht="17.399999999999999" customHeight="1" x14ac:dyDescent="0.3">
      <c r="A67" s="198" t="s">
        <v>7</v>
      </c>
      <c r="B67" s="342" t="s">
        <v>7</v>
      </c>
      <c r="C67" s="50"/>
      <c r="D67" s="51"/>
      <c r="E67" s="39"/>
      <c r="F67" s="64"/>
    </row>
    <row r="68" spans="1:6" ht="17.399999999999999" customHeight="1" thickBot="1" x14ac:dyDescent="0.35">
      <c r="A68" s="33"/>
      <c r="B68" s="16" t="s">
        <v>18</v>
      </c>
      <c r="C68" s="57">
        <f>SUM(C64:C67)</f>
        <v>2636496</v>
      </c>
      <c r="D68" s="49">
        <f>SUM(D64:D67)</f>
        <v>2042977</v>
      </c>
      <c r="E68" s="190">
        <f>SUM(E64:E67)</f>
        <v>289520</v>
      </c>
      <c r="F68" s="277"/>
    </row>
    <row r="69" spans="1:6" ht="17.399999999999999" customHeight="1" x14ac:dyDescent="0.3">
      <c r="A69" s="370"/>
      <c r="B69" s="370"/>
      <c r="C69" s="370"/>
      <c r="D69" s="370"/>
    </row>
    <row r="70" spans="1:6" ht="17.399999999999999" customHeight="1" thickBot="1" x14ac:dyDescent="0.35">
      <c r="A70" s="426" t="s">
        <v>1090</v>
      </c>
      <c r="B70" s="426"/>
      <c r="C70" s="426"/>
      <c r="D70" s="426"/>
    </row>
    <row r="71" spans="1:6" ht="36" customHeight="1" x14ac:dyDescent="0.3">
      <c r="A71" s="41" t="s">
        <v>60</v>
      </c>
      <c r="B71" s="29" t="s">
        <v>0</v>
      </c>
      <c r="C71" s="56" t="str">
        <f>+C5</f>
        <v>For the year ended March 31, 2025</v>
      </c>
      <c r="D71" s="275" t="s">
        <v>2</v>
      </c>
      <c r="E71" s="122" t="str">
        <f>+E63</f>
        <v>For the year ended March 31, 2023</v>
      </c>
      <c r="F71" s="122"/>
    </row>
    <row r="72" spans="1:6" ht="17.399999999999999" customHeight="1" x14ac:dyDescent="0.3">
      <c r="A72" s="32">
        <v>1</v>
      </c>
      <c r="B72" s="30" t="s">
        <v>375</v>
      </c>
      <c r="C72" s="53">
        <f>+Notes!I19</f>
        <v>1734673</v>
      </c>
      <c r="D72" s="48">
        <v>1018414</v>
      </c>
      <c r="E72" s="39">
        <v>905315</v>
      </c>
      <c r="F72" s="64"/>
    </row>
    <row r="73" spans="1:6" ht="17.399999999999999" customHeight="1" x14ac:dyDescent="0.3">
      <c r="A73" s="32">
        <v>2</v>
      </c>
      <c r="B73" s="30" t="s">
        <v>376</v>
      </c>
      <c r="C73" s="53">
        <f>+Notes!I22</f>
        <v>78337</v>
      </c>
      <c r="D73" s="48">
        <v>61574</v>
      </c>
      <c r="E73" s="39">
        <v>0</v>
      </c>
      <c r="F73" s="64"/>
    </row>
    <row r="74" spans="1:6" ht="17.399999999999999" customHeight="1" x14ac:dyDescent="0.3">
      <c r="A74" s="198" t="s">
        <v>7</v>
      </c>
      <c r="B74" s="18" t="s">
        <v>7</v>
      </c>
      <c r="C74" s="54" t="s">
        <v>7</v>
      </c>
      <c r="D74" s="47" t="s">
        <v>7</v>
      </c>
      <c r="E74" s="39"/>
      <c r="F74" s="64"/>
    </row>
    <row r="75" spans="1:6" ht="17.399999999999999" customHeight="1" thickBot="1" x14ac:dyDescent="0.35">
      <c r="A75" s="33"/>
      <c r="B75" s="16" t="s">
        <v>18</v>
      </c>
      <c r="C75" s="57">
        <f>SUM(C72:C74)</f>
        <v>1813010</v>
      </c>
      <c r="D75" s="49">
        <f>SUM(D72:D74)</f>
        <v>1079988</v>
      </c>
      <c r="E75" s="190">
        <f>SUM(E72:E74)</f>
        <v>905315</v>
      </c>
      <c r="F75" s="277"/>
    </row>
    <row r="76" spans="1:6" ht="17.399999999999999" customHeight="1" x14ac:dyDescent="0.3">
      <c r="A76" s="370"/>
      <c r="B76" s="370"/>
      <c r="C76" s="370"/>
      <c r="D76" s="370"/>
    </row>
    <row r="77" spans="1:6" ht="17.399999999999999" customHeight="1" x14ac:dyDescent="0.3">
      <c r="A77" s="81"/>
      <c r="B77" s="81"/>
      <c r="C77" s="81"/>
      <c r="D77" s="81"/>
    </row>
    <row r="78" spans="1:6" ht="17.399999999999999" customHeight="1" x14ac:dyDescent="0.3">
      <c r="A78" s="81"/>
      <c r="B78" s="81"/>
      <c r="C78" s="81"/>
      <c r="D78" s="81"/>
    </row>
    <row r="79" spans="1:6" ht="17.399999999999999" customHeight="1" x14ac:dyDescent="0.3">
      <c r="A79" s="81"/>
      <c r="B79" s="81"/>
      <c r="C79" s="81"/>
      <c r="D79" s="81"/>
    </row>
    <row r="80" spans="1:6" ht="17.399999999999999" customHeight="1" x14ac:dyDescent="0.3">
      <c r="A80" s="81"/>
      <c r="B80" s="81"/>
      <c r="C80" s="81"/>
      <c r="D80" s="81"/>
    </row>
    <row r="81" spans="1:6" ht="17.399999999999999" customHeight="1" x14ac:dyDescent="0.3">
      <c r="A81" s="81"/>
      <c r="B81" s="81"/>
      <c r="C81" s="81"/>
      <c r="D81" s="81"/>
    </row>
    <row r="82" spans="1:6" ht="17.399999999999999" customHeight="1" x14ac:dyDescent="0.3">
      <c r="A82" s="81"/>
      <c r="B82" s="81"/>
      <c r="C82" s="81"/>
      <c r="D82" s="81"/>
    </row>
    <row r="83" spans="1:6" ht="17.399999999999999" customHeight="1" x14ac:dyDescent="0.3">
      <c r="A83" s="81"/>
      <c r="B83" s="81"/>
      <c r="C83" s="81"/>
      <c r="D83" s="81"/>
    </row>
    <row r="84" spans="1:6" ht="17.399999999999999" customHeight="1" x14ac:dyDescent="0.3">
      <c r="A84" s="81"/>
      <c r="B84" s="81"/>
      <c r="C84" s="81"/>
      <c r="D84" s="81"/>
    </row>
    <row r="85" spans="1:6" ht="17.399999999999999" customHeight="1" x14ac:dyDescent="0.3">
      <c r="A85" s="81"/>
      <c r="B85" s="81"/>
      <c r="C85" s="81"/>
      <c r="D85" s="81"/>
    </row>
    <row r="86" spans="1:6" ht="17.399999999999999" customHeight="1" x14ac:dyDescent="0.3">
      <c r="A86" s="81"/>
      <c r="B86" s="81"/>
      <c r="C86" s="81"/>
      <c r="D86" s="81"/>
    </row>
    <row r="87" spans="1:6" ht="17.399999999999999" customHeight="1" x14ac:dyDescent="0.3">
      <c r="A87" s="81"/>
      <c r="B87" s="81"/>
      <c r="C87" s="81"/>
      <c r="D87" s="81"/>
    </row>
    <row r="88" spans="1:6" ht="17.399999999999999" customHeight="1" x14ac:dyDescent="0.3">
      <c r="A88" s="81"/>
      <c r="B88" s="81"/>
      <c r="C88" s="81"/>
      <c r="D88" s="81"/>
    </row>
    <row r="89" spans="1:6" ht="17.399999999999999" customHeight="1" x14ac:dyDescent="0.3">
      <c r="A89" s="365" t="s">
        <v>437</v>
      </c>
      <c r="B89" s="365"/>
      <c r="C89" s="365"/>
      <c r="D89" s="365"/>
    </row>
    <row r="90" spans="1:6" ht="17.399999999999999" customHeight="1" thickBot="1" x14ac:dyDescent="0.35">
      <c r="A90" s="426" t="s">
        <v>272</v>
      </c>
      <c r="B90" s="426"/>
      <c r="C90" s="426"/>
      <c r="D90" s="426"/>
    </row>
    <row r="91" spans="1:6" ht="17.399999999999999" customHeight="1" x14ac:dyDescent="0.3">
      <c r="A91" s="363"/>
      <c r="B91" s="363"/>
      <c r="C91" s="363"/>
      <c r="D91" s="363"/>
    </row>
    <row r="92" spans="1:6" ht="17.399999999999999" customHeight="1" thickBot="1" x14ac:dyDescent="0.35">
      <c r="A92" s="438" t="s">
        <v>1091</v>
      </c>
      <c r="B92" s="438"/>
      <c r="C92" s="438"/>
      <c r="D92" s="438"/>
    </row>
    <row r="93" spans="1:6" ht="36" customHeight="1" x14ac:dyDescent="0.3">
      <c r="A93" s="41" t="s">
        <v>60</v>
      </c>
      <c r="B93" s="38" t="s">
        <v>0</v>
      </c>
      <c r="C93" s="56" t="str">
        <f>+C5</f>
        <v>For the year ended March 31, 2025</v>
      </c>
      <c r="D93" s="275" t="s">
        <v>2</v>
      </c>
      <c r="E93" s="122" t="str">
        <f>+E71</f>
        <v>For the year ended March 31, 2023</v>
      </c>
      <c r="F93" s="122"/>
    </row>
    <row r="94" spans="1:6" ht="17.399999999999999" customHeight="1" x14ac:dyDescent="0.3">
      <c r="A94" s="32" t="s">
        <v>7</v>
      </c>
      <c r="B94" s="273" t="s">
        <v>379</v>
      </c>
      <c r="C94" s="53" t="s">
        <v>7</v>
      </c>
      <c r="D94" s="48" t="s">
        <v>7</v>
      </c>
    </row>
    <row r="95" spans="1:6" ht="17.399999999999999" customHeight="1" x14ac:dyDescent="0.3">
      <c r="A95" s="32">
        <v>1</v>
      </c>
      <c r="B95" s="272" t="s">
        <v>986</v>
      </c>
      <c r="C95" s="53">
        <v>3990043</v>
      </c>
      <c r="D95" s="48">
        <v>1777583</v>
      </c>
      <c r="E95" s="39">
        <f>320047+82400</f>
        <v>402447</v>
      </c>
      <c r="F95" s="64"/>
    </row>
    <row r="96" spans="1:6" ht="17.399999999999999" customHeight="1" x14ac:dyDescent="0.3">
      <c r="A96" s="32">
        <v>2</v>
      </c>
      <c r="B96" s="272" t="s">
        <v>987</v>
      </c>
      <c r="C96" s="53">
        <f>30062035+135976</f>
        <v>30198011</v>
      </c>
      <c r="D96" s="48">
        <v>11108530</v>
      </c>
      <c r="E96" s="39">
        <v>34322801</v>
      </c>
      <c r="F96" s="64"/>
    </row>
    <row r="97" spans="1:14" ht="17.399999999999999" customHeight="1" x14ac:dyDescent="0.3">
      <c r="A97" s="32">
        <v>3</v>
      </c>
      <c r="B97" s="272" t="s">
        <v>1052</v>
      </c>
      <c r="C97" s="53">
        <f>+L108</f>
        <v>3645916</v>
      </c>
      <c r="D97" s="48">
        <v>7253592</v>
      </c>
      <c r="E97" s="39">
        <v>1826184</v>
      </c>
      <c r="F97" s="64"/>
      <c r="G97" s="40" t="s">
        <v>7</v>
      </c>
    </row>
    <row r="98" spans="1:14" ht="17.399999999999999" customHeight="1" x14ac:dyDescent="0.3">
      <c r="A98" s="32">
        <v>4</v>
      </c>
      <c r="B98" s="272" t="s">
        <v>453</v>
      </c>
      <c r="C98" s="53">
        <f>95572583+44107214</f>
        <v>139679797</v>
      </c>
      <c r="D98" s="48">
        <f>12799042+83013714</f>
        <v>95812756</v>
      </c>
      <c r="E98" s="39">
        <f>3674542+1388025</f>
        <v>5062567</v>
      </c>
      <c r="F98" s="64"/>
      <c r="G98" s="40" t="s">
        <v>7</v>
      </c>
    </row>
    <row r="99" spans="1:14" ht="17.399999999999999" customHeight="1" x14ac:dyDescent="0.3">
      <c r="A99" s="32">
        <v>5</v>
      </c>
      <c r="B99" s="272" t="s">
        <v>797</v>
      </c>
      <c r="C99" s="53">
        <f>2874+11788499+33127</f>
        <v>11824500</v>
      </c>
      <c r="D99" s="48">
        <v>1452099</v>
      </c>
      <c r="E99" s="39">
        <v>1967951</v>
      </c>
      <c r="F99" s="64"/>
      <c r="G99" s="31" t="s">
        <v>7</v>
      </c>
    </row>
    <row r="100" spans="1:14" ht="17.399999999999999" customHeight="1" x14ac:dyDescent="0.3">
      <c r="A100" s="32">
        <v>6</v>
      </c>
      <c r="B100" s="272" t="s">
        <v>1134</v>
      </c>
      <c r="C100" s="53">
        <v>3824284</v>
      </c>
      <c r="D100" s="48">
        <v>2774025</v>
      </c>
      <c r="E100" s="39">
        <v>0</v>
      </c>
      <c r="F100" s="64"/>
    </row>
    <row r="101" spans="1:14" ht="17.399999999999999" customHeight="1" x14ac:dyDescent="0.3">
      <c r="A101" s="32">
        <v>7</v>
      </c>
      <c r="B101" s="272" t="s">
        <v>985</v>
      </c>
      <c r="C101" s="53">
        <v>39152330</v>
      </c>
      <c r="D101" s="48">
        <v>0</v>
      </c>
      <c r="E101" s="39">
        <v>0</v>
      </c>
      <c r="F101" s="64"/>
    </row>
    <row r="102" spans="1:14" ht="17.399999999999999" customHeight="1" thickBot="1" x14ac:dyDescent="0.35">
      <c r="A102" s="32"/>
      <c r="B102" s="273"/>
      <c r="C102" s="125">
        <f>SUM(C95:C101)</f>
        <v>232314881</v>
      </c>
      <c r="D102" s="126">
        <f>SUM(D95:D101)</f>
        <v>120178585</v>
      </c>
      <c r="E102" s="199">
        <f>SUM(E95:E101)</f>
        <v>43581950</v>
      </c>
      <c r="F102" s="277"/>
      <c r="G102" s="40" t="s">
        <v>7</v>
      </c>
    </row>
    <row r="103" spans="1:14" ht="17.399999999999999" customHeight="1" x14ac:dyDescent="0.3">
      <c r="A103" s="32"/>
      <c r="B103" s="273" t="s">
        <v>377</v>
      </c>
      <c r="C103" s="53"/>
      <c r="D103" s="48"/>
      <c r="E103" s="39"/>
      <c r="F103" s="64"/>
      <c r="G103" s="106" t="s">
        <v>781</v>
      </c>
      <c r="I103" s="106" t="s">
        <v>945</v>
      </c>
      <c r="K103" s="106" t="s">
        <v>1051</v>
      </c>
    </row>
    <row r="104" spans="1:14" ht="17.399999999999999" customHeight="1" x14ac:dyDescent="0.3">
      <c r="A104" s="32">
        <v>1</v>
      </c>
      <c r="B104" s="272" t="s">
        <v>31</v>
      </c>
      <c r="C104" s="53">
        <f>191500+357100</f>
        <v>548600</v>
      </c>
      <c r="D104" s="48">
        <v>184000</v>
      </c>
      <c r="E104" s="39">
        <v>56650</v>
      </c>
      <c r="F104" s="64"/>
      <c r="G104" s="31" t="s">
        <v>779</v>
      </c>
      <c r="H104" s="39">
        <v>22631</v>
      </c>
      <c r="I104" s="31" t="s">
        <v>946</v>
      </c>
      <c r="J104" s="39">
        <v>3000</v>
      </c>
      <c r="K104" s="31" t="s">
        <v>1053</v>
      </c>
      <c r="L104" s="40">
        <v>659147</v>
      </c>
      <c r="N104" s="40"/>
    </row>
    <row r="105" spans="1:14" ht="17.399999999999999" customHeight="1" x14ac:dyDescent="0.3">
      <c r="A105" s="32">
        <v>2</v>
      </c>
      <c r="B105" s="272" t="s">
        <v>462</v>
      </c>
      <c r="C105" s="53">
        <v>44659844</v>
      </c>
      <c r="D105" s="48">
        <v>78635</v>
      </c>
      <c r="E105" s="39">
        <v>0</v>
      </c>
      <c r="F105" s="64"/>
      <c r="G105" s="31" t="s">
        <v>780</v>
      </c>
      <c r="H105" s="39">
        <v>118886</v>
      </c>
      <c r="I105" s="31" t="s">
        <v>947</v>
      </c>
      <c r="J105" s="39">
        <v>2500</v>
      </c>
      <c r="K105" s="31" t="s">
        <v>1054</v>
      </c>
      <c r="L105" s="40">
        <v>2420226</v>
      </c>
    </row>
    <row r="106" spans="1:14" ht="17.399999999999999" customHeight="1" x14ac:dyDescent="0.3">
      <c r="A106" s="32">
        <v>3</v>
      </c>
      <c r="B106" s="272" t="s">
        <v>1043</v>
      </c>
      <c r="C106" s="53">
        <v>8665001</v>
      </c>
      <c r="D106" s="48">
        <v>0</v>
      </c>
      <c r="E106" s="39">
        <v>0</v>
      </c>
      <c r="F106" s="64"/>
      <c r="G106" s="31" t="s">
        <v>782</v>
      </c>
      <c r="H106" s="39">
        <v>24000</v>
      </c>
      <c r="I106" s="31" t="s">
        <v>948</v>
      </c>
      <c r="J106" s="39">
        <v>24000</v>
      </c>
      <c r="K106" s="31" t="s">
        <v>1055</v>
      </c>
      <c r="L106" s="40">
        <v>385000</v>
      </c>
    </row>
    <row r="107" spans="1:14" ht="17.399999999999999" customHeight="1" x14ac:dyDescent="0.3">
      <c r="A107" s="32">
        <v>4</v>
      </c>
      <c r="B107" s="272" t="s">
        <v>789</v>
      </c>
      <c r="C107" s="53">
        <v>950000</v>
      </c>
      <c r="D107" s="48">
        <v>0</v>
      </c>
      <c r="E107" s="39">
        <v>0</v>
      </c>
      <c r="F107" s="64"/>
      <c r="G107" s="31" t="s">
        <v>783</v>
      </c>
      <c r="H107" s="39">
        <v>92007</v>
      </c>
      <c r="I107" s="31" t="s">
        <v>949</v>
      </c>
      <c r="J107" s="39">
        <v>40508</v>
      </c>
      <c r="K107" s="31" t="s">
        <v>1056</v>
      </c>
      <c r="L107" s="40">
        <v>181543</v>
      </c>
    </row>
    <row r="108" spans="1:14" ht="17.399999999999999" customHeight="1" thickBot="1" x14ac:dyDescent="0.35">
      <c r="A108" s="32">
        <v>5</v>
      </c>
      <c r="B108" s="272" t="s">
        <v>456</v>
      </c>
      <c r="C108" s="53">
        <f>162792+8000</f>
        <v>170792</v>
      </c>
      <c r="D108" s="48">
        <v>0</v>
      </c>
      <c r="E108" s="39">
        <v>0</v>
      </c>
      <c r="F108" s="64"/>
      <c r="G108" s="31" t="s">
        <v>784</v>
      </c>
      <c r="H108" s="39">
        <v>38962</v>
      </c>
      <c r="I108" s="31" t="s">
        <v>950</v>
      </c>
      <c r="J108" s="39">
        <f>3251+226+71878+1300</f>
        <v>76655</v>
      </c>
      <c r="L108" s="311">
        <f>SUM(L104:L107)</f>
        <v>3645916</v>
      </c>
      <c r="N108" s="31" t="s">
        <v>7</v>
      </c>
    </row>
    <row r="109" spans="1:14" ht="17.399999999999999" customHeight="1" thickTop="1" x14ac:dyDescent="0.3">
      <c r="A109" s="32">
        <v>6</v>
      </c>
      <c r="B109" s="272" t="s">
        <v>458</v>
      </c>
      <c r="C109" s="53">
        <v>143499</v>
      </c>
      <c r="D109" s="48">
        <v>0</v>
      </c>
      <c r="E109" s="39">
        <v>0</v>
      </c>
      <c r="F109" s="64"/>
      <c r="G109" s="31" t="s">
        <v>785</v>
      </c>
      <c r="H109" s="39">
        <v>10000</v>
      </c>
      <c r="I109" s="31" t="s">
        <v>951</v>
      </c>
      <c r="J109" s="39">
        <v>3650</v>
      </c>
    </row>
    <row r="110" spans="1:14" ht="17.399999999999999" customHeight="1" x14ac:dyDescent="0.3">
      <c r="A110" s="32">
        <v>7</v>
      </c>
      <c r="B110" s="272" t="s">
        <v>451</v>
      </c>
      <c r="C110" s="53">
        <v>0</v>
      </c>
      <c r="D110" s="48">
        <v>318903</v>
      </c>
      <c r="E110" s="39">
        <v>0</v>
      </c>
      <c r="F110" s="64"/>
      <c r="G110" s="31" t="s">
        <v>786</v>
      </c>
      <c r="H110" s="40">
        <v>175844</v>
      </c>
      <c r="I110" s="31" t="s">
        <v>952</v>
      </c>
      <c r="J110" s="39">
        <v>18016</v>
      </c>
    </row>
    <row r="111" spans="1:14" ht="17.399999999999999" customHeight="1" x14ac:dyDescent="0.3">
      <c r="A111" s="32">
        <v>8</v>
      </c>
      <c r="B111" s="272" t="s">
        <v>64</v>
      </c>
      <c r="C111" s="53">
        <f>337026+16310+2500+9492</f>
        <v>365328</v>
      </c>
      <c r="D111" s="48">
        <v>195335</v>
      </c>
      <c r="E111" s="39">
        <v>72786</v>
      </c>
      <c r="F111" s="64"/>
      <c r="G111" s="31" t="s">
        <v>787</v>
      </c>
      <c r="H111" s="39">
        <v>1477053</v>
      </c>
      <c r="I111" s="31" t="s">
        <v>954</v>
      </c>
      <c r="J111" s="39">
        <v>6372</v>
      </c>
    </row>
    <row r="112" spans="1:14" ht="17.399999999999999" customHeight="1" x14ac:dyDescent="0.3">
      <c r="A112" s="32">
        <v>9</v>
      </c>
      <c r="B112" s="272" t="s">
        <v>230</v>
      </c>
      <c r="C112" s="53">
        <f>54755+9932+180+1199</f>
        <v>66066</v>
      </c>
      <c r="D112" s="48">
        <v>79532</v>
      </c>
      <c r="E112" s="39">
        <v>128052</v>
      </c>
      <c r="F112" s="64"/>
      <c r="G112" s="31" t="s">
        <v>788</v>
      </c>
      <c r="H112" s="39">
        <v>10000</v>
      </c>
      <c r="I112" s="31" t="s">
        <v>992</v>
      </c>
      <c r="J112" s="39">
        <f>-821-1</f>
        <v>-822</v>
      </c>
    </row>
    <row r="113" spans="1:10" ht="17.399999999999999" customHeight="1" x14ac:dyDescent="0.3">
      <c r="A113" s="32">
        <v>10</v>
      </c>
      <c r="B113" s="272" t="s">
        <v>460</v>
      </c>
      <c r="C113" s="53">
        <f>138081+6000</f>
        <v>144081</v>
      </c>
      <c r="D113" s="48">
        <v>0</v>
      </c>
      <c r="E113" s="39">
        <v>0</v>
      </c>
      <c r="F113" s="64"/>
      <c r="G113" s="31" t="s">
        <v>790</v>
      </c>
      <c r="H113" s="40">
        <v>24000</v>
      </c>
    </row>
    <row r="114" spans="1:10" ht="17.399999999999999" customHeight="1" x14ac:dyDescent="0.3">
      <c r="A114" s="32">
        <v>11</v>
      </c>
      <c r="B114" s="272" t="s">
        <v>65</v>
      </c>
      <c r="C114" s="53">
        <f>1543905+8701</f>
        <v>1552606</v>
      </c>
      <c r="D114" s="48">
        <v>401228</v>
      </c>
      <c r="E114" s="39">
        <v>108440</v>
      </c>
      <c r="F114" s="64"/>
      <c r="G114" s="31" t="s">
        <v>810</v>
      </c>
      <c r="H114" s="40">
        <v>2500</v>
      </c>
    </row>
    <row r="115" spans="1:10" ht="17.399999999999999" customHeight="1" thickBot="1" x14ac:dyDescent="0.35">
      <c r="A115" s="32">
        <v>12</v>
      </c>
      <c r="B115" s="272" t="s">
        <v>478</v>
      </c>
      <c r="C115" s="53">
        <v>0</v>
      </c>
      <c r="D115" s="48">
        <v>206998</v>
      </c>
      <c r="E115" s="39">
        <v>0</v>
      </c>
      <c r="F115" s="64"/>
      <c r="G115" s="31" t="s">
        <v>981</v>
      </c>
      <c r="H115" s="39">
        <f>17071350+29</f>
        <v>17071379</v>
      </c>
      <c r="J115" s="343">
        <f>SUM(J104:J114)</f>
        <v>173879</v>
      </c>
    </row>
    <row r="116" spans="1:10" ht="17.399999999999999" customHeight="1" x14ac:dyDescent="0.3">
      <c r="A116" s="32">
        <v>13</v>
      </c>
      <c r="B116" s="272" t="s">
        <v>452</v>
      </c>
      <c r="C116" s="53">
        <v>0</v>
      </c>
      <c r="D116" s="48">
        <v>1950000</v>
      </c>
      <c r="E116" s="39">
        <v>0</v>
      </c>
      <c r="F116" s="64"/>
      <c r="G116" s="31" t="s">
        <v>983</v>
      </c>
      <c r="H116" s="39">
        <v>21838168</v>
      </c>
    </row>
    <row r="117" spans="1:10" ht="17.399999999999999" customHeight="1" x14ac:dyDescent="0.3">
      <c r="A117" s="32">
        <v>14</v>
      </c>
      <c r="B117" s="272" t="s">
        <v>459</v>
      </c>
      <c r="C117" s="53">
        <f>101515+28320</f>
        <v>129835</v>
      </c>
      <c r="D117" s="48">
        <v>0</v>
      </c>
      <c r="E117" s="39">
        <v>0</v>
      </c>
      <c r="F117" s="64"/>
      <c r="G117" s="31" t="s">
        <v>989</v>
      </c>
      <c r="H117" s="39">
        <f>338721</f>
        <v>338721</v>
      </c>
    </row>
    <row r="118" spans="1:10" ht="17.399999999999999" customHeight="1" x14ac:dyDescent="0.3">
      <c r="A118" s="32">
        <v>15</v>
      </c>
      <c r="B118" s="272" t="s">
        <v>231</v>
      </c>
      <c r="C118" s="53">
        <f>2576809+10000</f>
        <v>2586809</v>
      </c>
      <c r="D118" s="48">
        <f>41753+380500</f>
        <v>422253</v>
      </c>
      <c r="E118" s="39">
        <v>0</v>
      </c>
      <c r="F118" s="64"/>
      <c r="G118" s="31" t="s">
        <v>990</v>
      </c>
      <c r="H118" s="39">
        <v>10000</v>
      </c>
    </row>
    <row r="119" spans="1:10" ht="17.399999999999999" customHeight="1" x14ac:dyDescent="0.3">
      <c r="A119" s="32">
        <v>16</v>
      </c>
      <c r="B119" s="272" t="s">
        <v>439</v>
      </c>
      <c r="C119" s="53">
        <v>136130</v>
      </c>
      <c r="D119" s="48">
        <v>29399</v>
      </c>
      <c r="E119" s="39">
        <v>12300</v>
      </c>
      <c r="F119" s="64"/>
      <c r="G119" s="31" t="s">
        <v>7</v>
      </c>
      <c r="H119" s="39" t="s">
        <v>7</v>
      </c>
    </row>
    <row r="120" spans="1:10" ht="17.399999999999999" customHeight="1" thickBot="1" x14ac:dyDescent="0.35">
      <c r="A120" s="32">
        <v>17</v>
      </c>
      <c r="B120" s="272" t="s">
        <v>795</v>
      </c>
      <c r="C120" s="53">
        <f>1921193+1937</f>
        <v>1923130</v>
      </c>
      <c r="D120" s="48">
        <v>1203491</v>
      </c>
      <c r="E120" s="39">
        <v>1504830</v>
      </c>
      <c r="F120" s="64"/>
      <c r="H120" s="343">
        <f>SUM(H104:H119)</f>
        <v>41254151</v>
      </c>
    </row>
    <row r="121" spans="1:10" ht="17.399999999999999" customHeight="1" x14ac:dyDescent="0.3">
      <c r="A121" s="32">
        <v>18</v>
      </c>
      <c r="B121" s="272" t="s">
        <v>457</v>
      </c>
      <c r="C121" s="53">
        <f>1072039+250938</f>
        <v>1322977</v>
      </c>
      <c r="D121" s="48">
        <v>0</v>
      </c>
      <c r="E121" s="39">
        <v>0</v>
      </c>
      <c r="F121" s="64"/>
      <c r="G121" s="31" t="s">
        <v>7</v>
      </c>
    </row>
    <row r="122" spans="1:10" ht="17.399999999999999" customHeight="1" x14ac:dyDescent="0.3">
      <c r="A122" s="32">
        <v>19</v>
      </c>
      <c r="B122" s="272" t="s">
        <v>1135</v>
      </c>
      <c r="C122" s="53">
        <f>160864</f>
        <v>160864</v>
      </c>
      <c r="D122" s="48">
        <v>458522</v>
      </c>
      <c r="E122" s="39">
        <v>244352</v>
      </c>
      <c r="F122" s="64"/>
      <c r="G122" s="31" t="s">
        <v>7</v>
      </c>
      <c r="H122" s="40"/>
    </row>
    <row r="123" spans="1:10" ht="17.399999999999999" customHeight="1" x14ac:dyDescent="0.3">
      <c r="A123" s="32">
        <v>20</v>
      </c>
      <c r="B123" s="272" t="s">
        <v>504</v>
      </c>
      <c r="C123" s="53">
        <f>+J115</f>
        <v>173879</v>
      </c>
      <c r="D123" s="48">
        <f>71143-119+4880</f>
        <v>75904</v>
      </c>
      <c r="E123" s="39">
        <f>57+251069+8930</f>
        <v>260056</v>
      </c>
      <c r="F123" s="64"/>
      <c r="G123" s="40"/>
      <c r="H123" s="39"/>
    </row>
    <row r="124" spans="1:10" ht="17.399999999999999" customHeight="1" x14ac:dyDescent="0.3">
      <c r="A124" s="32">
        <v>21</v>
      </c>
      <c r="B124" s="272" t="s">
        <v>378</v>
      </c>
      <c r="C124" s="53">
        <f>+H120</f>
        <v>41254151</v>
      </c>
      <c r="D124" s="48">
        <f>29517059+196308+80000+16871</f>
        <v>29810238</v>
      </c>
      <c r="E124" s="39">
        <v>54750</v>
      </c>
      <c r="F124" s="64"/>
      <c r="H124" s="40"/>
    </row>
    <row r="125" spans="1:10" ht="17.399999999999999" customHeight="1" x14ac:dyDescent="0.3">
      <c r="A125" s="32">
        <v>22</v>
      </c>
      <c r="B125" s="272" t="s">
        <v>794</v>
      </c>
      <c r="C125" s="53">
        <f>460800+342000</f>
        <v>802800</v>
      </c>
      <c r="D125" s="48">
        <v>366000</v>
      </c>
      <c r="E125" s="39">
        <f>1194710+374200</f>
        <v>1568910</v>
      </c>
      <c r="F125" s="64"/>
    </row>
    <row r="126" spans="1:10" ht="17.399999999999999" customHeight="1" x14ac:dyDescent="0.3">
      <c r="A126" s="32"/>
      <c r="B126" s="272"/>
      <c r="C126" s="53"/>
      <c r="D126" s="48"/>
      <c r="E126" s="39"/>
      <c r="F126" s="64"/>
    </row>
    <row r="127" spans="1:10" ht="17.399999999999999" customHeight="1" thickBot="1" x14ac:dyDescent="0.35">
      <c r="A127" s="33"/>
      <c r="B127" s="176"/>
      <c r="C127" s="125">
        <f>SUM(C104:C126)</f>
        <v>105756392</v>
      </c>
      <c r="D127" s="126">
        <f>SUM(D104:D125)</f>
        <v>35780438</v>
      </c>
      <c r="E127" s="199">
        <f>SUM(E104:E125)</f>
        <v>4011126</v>
      </c>
      <c r="F127" s="64"/>
      <c r="G127" s="31" t="s">
        <v>7</v>
      </c>
    </row>
    <row r="128" spans="1:10" ht="17.399999999999999" customHeight="1" x14ac:dyDescent="0.3">
      <c r="B128" s="66"/>
      <c r="C128" s="154" t="s">
        <v>7</v>
      </c>
      <c r="D128" s="154"/>
      <c r="E128" s="197"/>
      <c r="F128" s="64"/>
    </row>
    <row r="129" spans="1:9" ht="17.399999999999999" customHeight="1" x14ac:dyDescent="0.3">
      <c r="B129" s="66"/>
      <c r="C129" s="154"/>
      <c r="D129" s="154"/>
      <c r="E129" s="197"/>
      <c r="F129" s="64"/>
    </row>
    <row r="130" spans="1:9" ht="17.399999999999999" customHeight="1" x14ac:dyDescent="0.3">
      <c r="B130" s="66"/>
      <c r="C130" s="154"/>
      <c r="D130" s="154"/>
      <c r="E130" s="197"/>
      <c r="F130" s="64"/>
    </row>
    <row r="131" spans="1:9" ht="17.399999999999999" customHeight="1" x14ac:dyDescent="0.3">
      <c r="B131" s="66"/>
      <c r="C131" s="154"/>
      <c r="D131" s="154"/>
      <c r="E131" s="197"/>
      <c r="F131" s="64"/>
    </row>
    <row r="132" spans="1:9" ht="17.399999999999999" customHeight="1" x14ac:dyDescent="0.3">
      <c r="B132" s="66"/>
      <c r="C132" s="154"/>
      <c r="D132" s="154"/>
      <c r="E132" s="197"/>
      <c r="F132" s="64"/>
    </row>
    <row r="133" spans="1:9" ht="17.399999999999999" customHeight="1" x14ac:dyDescent="0.3">
      <c r="B133" s="66"/>
      <c r="C133" s="154"/>
      <c r="D133" s="154"/>
      <c r="E133" s="197"/>
      <c r="F133" s="64"/>
    </row>
    <row r="134" spans="1:9" ht="17.399999999999999" customHeight="1" x14ac:dyDescent="0.3">
      <c r="B134" s="66"/>
      <c r="C134" s="154"/>
      <c r="D134" s="154"/>
      <c r="E134" s="197"/>
      <c r="F134" s="64"/>
    </row>
    <row r="135" spans="1:9" ht="17.399999999999999" customHeight="1" x14ac:dyDescent="0.3">
      <c r="A135" s="364" t="s">
        <v>437</v>
      </c>
      <c r="B135" s="364"/>
      <c r="C135" s="364"/>
      <c r="D135" s="364"/>
      <c r="E135" s="197"/>
      <c r="F135" s="64"/>
    </row>
    <row r="136" spans="1:9" ht="17.399999999999999" customHeight="1" thickBot="1" x14ac:dyDescent="0.35">
      <c r="A136" s="426" t="s">
        <v>272</v>
      </c>
      <c r="B136" s="426"/>
      <c r="C136" s="426"/>
      <c r="D136" s="426"/>
      <c r="E136" s="197"/>
      <c r="F136" s="64"/>
    </row>
    <row r="137" spans="1:9" ht="17.399999999999999" customHeight="1" thickBot="1" x14ac:dyDescent="0.35">
      <c r="B137" s="66"/>
      <c r="C137" s="154"/>
      <c r="D137" s="154"/>
      <c r="E137" s="197"/>
      <c r="F137" s="64"/>
      <c r="I137" s="40"/>
    </row>
    <row r="138" spans="1:9" ht="17.399999999999999" customHeight="1" x14ac:dyDescent="0.3">
      <c r="A138" s="344"/>
      <c r="B138" s="173" t="s">
        <v>463</v>
      </c>
      <c r="C138" s="174"/>
      <c r="D138" s="175"/>
      <c r="E138" s="39"/>
      <c r="F138" s="277"/>
      <c r="I138" s="40"/>
    </row>
    <row r="139" spans="1:9" ht="17.399999999999999" customHeight="1" x14ac:dyDescent="0.3">
      <c r="A139" s="32">
        <v>1</v>
      </c>
      <c r="B139" s="272" t="s">
        <v>401</v>
      </c>
      <c r="C139" s="53">
        <f>96200+1600+42000</f>
        <v>139800</v>
      </c>
      <c r="D139" s="48">
        <f>49696+140404</f>
        <v>190100</v>
      </c>
      <c r="E139" s="39">
        <v>0</v>
      </c>
      <c r="F139" s="64"/>
      <c r="I139" s="40"/>
    </row>
    <row r="140" spans="1:9" ht="17.399999999999999" customHeight="1" x14ac:dyDescent="0.3">
      <c r="A140" s="32">
        <v>2</v>
      </c>
      <c r="B140" s="272" t="s">
        <v>505</v>
      </c>
      <c r="C140" s="53">
        <v>238162</v>
      </c>
      <c r="D140" s="48">
        <v>0</v>
      </c>
      <c r="E140" s="39">
        <v>0</v>
      </c>
      <c r="F140" s="64"/>
      <c r="I140" s="40"/>
    </row>
    <row r="141" spans="1:9" ht="17.399999999999999" customHeight="1" x14ac:dyDescent="0.3">
      <c r="A141" s="32">
        <v>3</v>
      </c>
      <c r="B141" s="272" t="s">
        <v>233</v>
      </c>
      <c r="C141" s="53">
        <f>61318+37693</f>
        <v>99011</v>
      </c>
      <c r="D141" s="48">
        <f>11483+3598978</f>
        <v>3610461</v>
      </c>
      <c r="E141" s="39">
        <f>21343+144269</f>
        <v>165612</v>
      </c>
      <c r="F141" s="64"/>
      <c r="I141" s="40"/>
    </row>
    <row r="142" spans="1:9" ht="17.399999999999999" customHeight="1" x14ac:dyDescent="0.3">
      <c r="A142" s="32">
        <v>4</v>
      </c>
      <c r="B142" s="272" t="s">
        <v>1057</v>
      </c>
      <c r="C142" s="53">
        <f>1490+274630+207669</f>
        <v>483789</v>
      </c>
      <c r="D142" s="48">
        <v>230631</v>
      </c>
      <c r="E142" s="39">
        <v>35928</v>
      </c>
      <c r="F142" s="64"/>
      <c r="I142" s="40"/>
    </row>
    <row r="143" spans="1:9" ht="17.399999999999999" customHeight="1" x14ac:dyDescent="0.3">
      <c r="A143" s="32">
        <v>5</v>
      </c>
      <c r="B143" s="272" t="s">
        <v>400</v>
      </c>
      <c r="C143" s="53">
        <v>1061866</v>
      </c>
      <c r="D143" s="48">
        <v>506579</v>
      </c>
      <c r="E143" s="39">
        <v>450945</v>
      </c>
      <c r="F143" s="64"/>
      <c r="I143" s="40"/>
    </row>
    <row r="144" spans="1:9" ht="17.399999999999999" customHeight="1" thickBot="1" x14ac:dyDescent="0.35">
      <c r="A144" s="32"/>
      <c r="B144" s="272"/>
      <c r="C144" s="125">
        <f>SUM(C139:C143)</f>
        <v>2022628</v>
      </c>
      <c r="D144" s="126">
        <f>SUM(D139:D143)</f>
        <v>4537771</v>
      </c>
      <c r="E144" s="199">
        <f>SUM(E139:E143)</f>
        <v>652485</v>
      </c>
      <c r="F144" s="64"/>
      <c r="H144" s="40"/>
      <c r="I144" s="40"/>
    </row>
    <row r="145" spans="1:8" ht="17.399999999999999" customHeight="1" x14ac:dyDescent="0.3">
      <c r="A145" s="32"/>
      <c r="B145" s="273" t="s">
        <v>464</v>
      </c>
      <c r="C145" s="53"/>
      <c r="D145" s="48" t="s">
        <v>7</v>
      </c>
      <c r="E145" s="39" t="s">
        <v>7</v>
      </c>
      <c r="F145" s="277"/>
    </row>
    <row r="146" spans="1:8" ht="17.399999999999999" customHeight="1" x14ac:dyDescent="0.3">
      <c r="A146" s="32">
        <v>1</v>
      </c>
      <c r="B146" s="272" t="s">
        <v>128</v>
      </c>
      <c r="C146" s="53">
        <f>88000+101040</f>
        <v>189040</v>
      </c>
      <c r="D146" s="48">
        <v>113256</v>
      </c>
      <c r="E146" s="39">
        <v>0</v>
      </c>
      <c r="F146" s="64"/>
    </row>
    <row r="147" spans="1:8" ht="17.399999999999999" customHeight="1" x14ac:dyDescent="0.3">
      <c r="A147" s="32">
        <v>2</v>
      </c>
      <c r="B147" s="272" t="s">
        <v>503</v>
      </c>
      <c r="C147" s="53">
        <f>171282+21784+5653+8877+29519</f>
        <v>237115</v>
      </c>
      <c r="D147" s="48">
        <v>0</v>
      </c>
      <c r="E147" s="39">
        <v>0</v>
      </c>
      <c r="F147" s="64"/>
      <c r="G147" s="40"/>
    </row>
    <row r="148" spans="1:8" ht="17.399999999999999" customHeight="1" x14ac:dyDescent="0.3">
      <c r="A148" s="32">
        <v>3</v>
      </c>
      <c r="B148" s="272" t="s">
        <v>232</v>
      </c>
      <c r="C148" s="53">
        <f>152730+5167+140000</f>
        <v>297897</v>
      </c>
      <c r="D148" s="48">
        <v>1787926</v>
      </c>
      <c r="E148" s="39">
        <f>1437766+16000</f>
        <v>1453766</v>
      </c>
      <c r="F148" s="64"/>
      <c r="G148" s="40"/>
    </row>
    <row r="149" spans="1:8" ht="17.399999999999999" customHeight="1" x14ac:dyDescent="0.3">
      <c r="A149" s="32">
        <v>4</v>
      </c>
      <c r="B149" s="272" t="s">
        <v>988</v>
      </c>
      <c r="C149" s="53">
        <v>5813160</v>
      </c>
      <c r="D149" s="48">
        <v>0</v>
      </c>
      <c r="E149" s="39">
        <v>0</v>
      </c>
      <c r="F149" s="64"/>
      <c r="H149" s="40"/>
    </row>
    <row r="150" spans="1:8" ht="17.399999999999999" customHeight="1" thickBot="1" x14ac:dyDescent="0.35">
      <c r="A150" s="32"/>
      <c r="B150" s="17"/>
      <c r="C150" s="125">
        <f>SUM(C146:C149)</f>
        <v>6537212</v>
      </c>
      <c r="D150" s="360">
        <f>SUM(D146:D149)</f>
        <v>1901182</v>
      </c>
      <c r="E150" s="361">
        <f>SUM(E146:E149)</f>
        <v>1453766</v>
      </c>
      <c r="F150" s="64"/>
      <c r="H150" s="40"/>
    </row>
    <row r="151" spans="1:8" ht="17.399999999999999" customHeight="1" x14ac:dyDescent="0.3">
      <c r="A151" s="198"/>
      <c r="B151" s="68"/>
      <c r="C151" s="54"/>
      <c r="D151" s="47"/>
      <c r="E151" s="39"/>
      <c r="F151" s="277"/>
      <c r="H151" s="40"/>
    </row>
    <row r="152" spans="1:8" ht="17.399999999999999" customHeight="1" thickBot="1" x14ac:dyDescent="0.35">
      <c r="A152" s="33"/>
      <c r="B152" s="107" t="s">
        <v>18</v>
      </c>
      <c r="C152" s="57">
        <f>+C102+C127+C144+C150</f>
        <v>346631113</v>
      </c>
      <c r="D152" s="49">
        <f>+D102+D127+D144+D150</f>
        <v>162397976</v>
      </c>
      <c r="E152" s="190">
        <f>+E102+E127+E144+E150</f>
        <v>49699327</v>
      </c>
      <c r="F152" s="64"/>
      <c r="H152" s="40"/>
    </row>
    <row r="153" spans="1:8" ht="17.399999999999999" customHeight="1" x14ac:dyDescent="0.3">
      <c r="B153" s="66"/>
      <c r="C153" s="67" t="s">
        <v>7</v>
      </c>
      <c r="D153" s="67"/>
      <c r="F153" s="277"/>
    </row>
    <row r="154" spans="1:8" ht="18" customHeight="1" thickBot="1" x14ac:dyDescent="0.35">
      <c r="A154" s="364" t="s">
        <v>1092</v>
      </c>
      <c r="B154" s="364"/>
      <c r="C154" s="364"/>
      <c r="D154" s="364"/>
    </row>
    <row r="155" spans="1:8" ht="32.4" customHeight="1" x14ac:dyDescent="0.3">
      <c r="A155" s="41" t="s">
        <v>60</v>
      </c>
      <c r="B155" s="29" t="s">
        <v>0</v>
      </c>
      <c r="C155" s="118" t="s">
        <v>1</v>
      </c>
      <c r="D155" s="119" t="s">
        <v>2</v>
      </c>
      <c r="E155" s="122" t="str">
        <f>+E93</f>
        <v>For the year ended March 31, 2023</v>
      </c>
    </row>
    <row r="156" spans="1:8" ht="17.399999999999999" customHeight="1" x14ac:dyDescent="0.3">
      <c r="A156" s="32"/>
      <c r="B156" s="120" t="s">
        <v>380</v>
      </c>
      <c r="C156" s="11"/>
      <c r="D156" s="12"/>
      <c r="F156" s="122"/>
    </row>
    <row r="157" spans="1:8" ht="17.399999999999999" customHeight="1" x14ac:dyDescent="0.3">
      <c r="A157" s="32">
        <v>1</v>
      </c>
      <c r="B157" s="341" t="s">
        <v>381</v>
      </c>
      <c r="C157" s="11">
        <v>240000</v>
      </c>
      <c r="D157" s="12">
        <v>184000</v>
      </c>
      <c r="E157" s="39">
        <v>56650</v>
      </c>
    </row>
    <row r="158" spans="1:8" ht="17.399999999999999" customHeight="1" x14ac:dyDescent="0.3">
      <c r="A158" s="32"/>
      <c r="B158" s="120" t="s">
        <v>382</v>
      </c>
      <c r="C158" s="11"/>
      <c r="D158" s="12"/>
      <c r="E158" s="39"/>
      <c r="F158" s="64"/>
    </row>
    <row r="159" spans="1:8" ht="17.399999999999999" customHeight="1" x14ac:dyDescent="0.3">
      <c r="A159" s="32">
        <v>2</v>
      </c>
      <c r="B159" s="341" t="s">
        <v>383</v>
      </c>
      <c r="C159" s="11">
        <v>90000</v>
      </c>
      <c r="D159" s="12">
        <v>0</v>
      </c>
      <c r="E159" s="39">
        <v>0</v>
      </c>
      <c r="F159" s="64"/>
    </row>
    <row r="160" spans="1:8" ht="17.399999999999999" customHeight="1" x14ac:dyDescent="0.3">
      <c r="A160" s="32">
        <v>3</v>
      </c>
      <c r="B160" s="341" t="s">
        <v>384</v>
      </c>
      <c r="C160" s="11">
        <v>30000</v>
      </c>
      <c r="D160" s="12">
        <v>0</v>
      </c>
      <c r="E160" s="39">
        <v>0</v>
      </c>
      <c r="F160" s="64"/>
    </row>
    <row r="161" spans="1:6" ht="17.399999999999999" customHeight="1" x14ac:dyDescent="0.3">
      <c r="A161" s="198"/>
      <c r="B161" s="342"/>
      <c r="C161" s="50"/>
      <c r="D161" s="51"/>
      <c r="E161" s="39"/>
      <c r="F161" s="64"/>
    </row>
    <row r="162" spans="1:6" ht="17.399999999999999" customHeight="1" thickBot="1" x14ac:dyDescent="0.35">
      <c r="A162" s="33"/>
      <c r="B162" s="345" t="s">
        <v>18</v>
      </c>
      <c r="C162" s="63">
        <f>SUM(C156:C161)</f>
        <v>360000</v>
      </c>
      <c r="D162" s="117">
        <f>SUM(D156:D161)</f>
        <v>184000</v>
      </c>
      <c r="E162" s="190">
        <f>SUM(E156:E161)</f>
        <v>56650</v>
      </c>
      <c r="F162" s="64"/>
    </row>
    <row r="163" spans="1:6" ht="17.399999999999999" customHeight="1" x14ac:dyDescent="0.3">
      <c r="B163" s="66"/>
      <c r="C163" s="67"/>
      <c r="D163" s="67"/>
      <c r="F163" s="277"/>
    </row>
    <row r="166" spans="1:6" ht="48" customHeight="1" x14ac:dyDescent="0.3"/>
    <row r="167" spans="1:6" ht="18" customHeight="1" x14ac:dyDescent="0.3"/>
    <row r="168" spans="1:6" ht="24" customHeight="1" x14ac:dyDescent="0.3"/>
    <row r="172" spans="1:6" ht="17.399999999999999" customHeight="1" x14ac:dyDescent="0.3">
      <c r="A172" s="31" t="s">
        <v>7</v>
      </c>
    </row>
    <row r="173" spans="1:6" ht="17.399999999999999" customHeight="1" x14ac:dyDescent="0.3">
      <c r="A173" s="31"/>
    </row>
    <row r="174" spans="1:6" ht="17.399999999999999" customHeight="1" x14ac:dyDescent="0.3">
      <c r="A174" s="31"/>
    </row>
    <row r="175" spans="1:6" ht="17.399999999999999" customHeight="1" x14ac:dyDescent="0.3">
      <c r="A175" s="31"/>
    </row>
    <row r="176" spans="1:6" ht="17.399999999999999" customHeight="1" x14ac:dyDescent="0.3">
      <c r="A176" s="31"/>
    </row>
    <row r="177" spans="1:1" ht="17.399999999999999" customHeight="1" x14ac:dyDescent="0.3">
      <c r="A177" s="31"/>
    </row>
    <row r="178" spans="1:1" ht="17.399999999999999" customHeight="1" x14ac:dyDescent="0.3">
      <c r="A178" s="31"/>
    </row>
    <row r="179" spans="1:1" ht="17.399999999999999" customHeight="1" x14ac:dyDescent="0.3">
      <c r="A179" s="31"/>
    </row>
    <row r="180" spans="1:1" ht="17.399999999999999" customHeight="1" x14ac:dyDescent="0.3">
      <c r="A180" s="31"/>
    </row>
    <row r="181" spans="1:1" ht="17.399999999999999" customHeight="1" x14ac:dyDescent="0.3">
      <c r="A181" s="31"/>
    </row>
    <row r="182" spans="1:1" ht="17.399999999999999" customHeight="1" x14ac:dyDescent="0.3">
      <c r="A182" s="31"/>
    </row>
    <row r="183" spans="1:1" ht="17.399999999999999" customHeight="1" x14ac:dyDescent="0.3">
      <c r="A183" s="31"/>
    </row>
    <row r="184" spans="1:1" ht="17.399999999999999" customHeight="1" x14ac:dyDescent="0.3">
      <c r="A184" s="31"/>
    </row>
    <row r="185" spans="1:1" ht="17.399999999999999" customHeight="1" x14ac:dyDescent="0.3">
      <c r="A185" s="31"/>
    </row>
    <row r="186" spans="1:1" ht="17.399999999999999" customHeight="1" x14ac:dyDescent="0.3">
      <c r="A186" s="31"/>
    </row>
    <row r="187" spans="1:1" ht="17.399999999999999" customHeight="1" x14ac:dyDescent="0.3">
      <c r="A187" s="31"/>
    </row>
    <row r="188" spans="1:1" ht="17.399999999999999" customHeight="1" x14ac:dyDescent="0.3">
      <c r="A188" s="31"/>
    </row>
    <row r="189" spans="1:1" ht="17.399999999999999" customHeight="1" x14ac:dyDescent="0.3">
      <c r="A189" s="31"/>
    </row>
    <row r="190" spans="1:1" ht="17.399999999999999" customHeight="1" x14ac:dyDescent="0.3">
      <c r="A190" s="31"/>
    </row>
    <row r="191" spans="1:1" ht="17.399999999999999" customHeight="1" x14ac:dyDescent="0.3">
      <c r="A191" s="31"/>
    </row>
    <row r="192" spans="1:1" ht="17.399999999999999" customHeight="1" x14ac:dyDescent="0.3">
      <c r="A192" s="31"/>
    </row>
    <row r="193" spans="1:1" ht="17.399999999999999" customHeight="1" x14ac:dyDescent="0.3">
      <c r="A193" s="31"/>
    </row>
    <row r="194" spans="1:1" ht="17.399999999999999" customHeight="1" x14ac:dyDescent="0.3">
      <c r="A194" s="31"/>
    </row>
    <row r="195" spans="1:1" ht="17.399999999999999" customHeight="1" x14ac:dyDescent="0.3">
      <c r="A195" s="31"/>
    </row>
    <row r="196" spans="1:1" ht="17.399999999999999" customHeight="1" x14ac:dyDescent="0.3">
      <c r="A196" s="31"/>
    </row>
    <row r="197" spans="1:1" ht="17.399999999999999" customHeight="1" x14ac:dyDescent="0.3">
      <c r="A197" s="31"/>
    </row>
    <row r="198" spans="1:1" ht="17.399999999999999" customHeight="1" x14ac:dyDescent="0.3">
      <c r="A198" s="31"/>
    </row>
    <row r="199" spans="1:1" ht="17.399999999999999" customHeight="1" x14ac:dyDescent="0.3">
      <c r="A199" s="31"/>
    </row>
    <row r="200" spans="1:1" ht="17.399999999999999" customHeight="1" x14ac:dyDescent="0.3">
      <c r="A200" s="31"/>
    </row>
    <row r="201" spans="1:1" ht="17.399999999999999" customHeight="1" x14ac:dyDescent="0.3">
      <c r="A201" s="31"/>
    </row>
    <row r="202" spans="1:1" ht="17.399999999999999" customHeight="1" x14ac:dyDescent="0.3">
      <c r="A202" s="31"/>
    </row>
    <row r="203" spans="1:1" ht="17.399999999999999" customHeight="1" x14ac:dyDescent="0.3">
      <c r="A203" s="31"/>
    </row>
    <row r="204" spans="1:1" ht="17.399999999999999" customHeight="1" x14ac:dyDescent="0.3">
      <c r="A204" s="31"/>
    </row>
    <row r="205" spans="1:1" ht="17.399999999999999" customHeight="1" x14ac:dyDescent="0.3">
      <c r="A205" s="31"/>
    </row>
    <row r="206" spans="1:1" ht="17.399999999999999" customHeight="1" x14ac:dyDescent="0.3">
      <c r="A206" s="31"/>
    </row>
    <row r="207" spans="1:1" ht="17.399999999999999" customHeight="1" x14ac:dyDescent="0.3">
      <c r="A207" s="31"/>
    </row>
    <row r="208" spans="1:1" ht="17.399999999999999" customHeight="1" x14ac:dyDescent="0.3">
      <c r="A208" s="31"/>
    </row>
    <row r="209" spans="1:1" ht="17.399999999999999" customHeight="1" x14ac:dyDescent="0.3">
      <c r="A209" s="31"/>
    </row>
    <row r="210" spans="1:1" ht="17.399999999999999" customHeight="1" x14ac:dyDescent="0.3">
      <c r="A210" s="31"/>
    </row>
    <row r="211" spans="1:1" ht="17.399999999999999" customHeight="1" x14ac:dyDescent="0.3">
      <c r="A211" s="31"/>
    </row>
    <row r="212" spans="1:1" ht="17.399999999999999" customHeight="1" x14ac:dyDescent="0.3">
      <c r="A212" s="31"/>
    </row>
    <row r="213" spans="1:1" ht="17.399999999999999" customHeight="1" x14ac:dyDescent="0.3">
      <c r="A213" s="31"/>
    </row>
    <row r="214" spans="1:1" ht="17.399999999999999" customHeight="1" x14ac:dyDescent="0.3">
      <c r="A214" s="31"/>
    </row>
    <row r="215" spans="1:1" ht="17.399999999999999" customHeight="1" x14ac:dyDescent="0.3">
      <c r="A215" s="31"/>
    </row>
    <row r="216" spans="1:1" ht="17.399999999999999" customHeight="1" x14ac:dyDescent="0.3">
      <c r="A216" s="31"/>
    </row>
    <row r="217" spans="1:1" ht="17.399999999999999" customHeight="1" x14ac:dyDescent="0.3">
      <c r="A217" s="31"/>
    </row>
    <row r="218" spans="1:1" ht="17.399999999999999" customHeight="1" x14ac:dyDescent="0.3">
      <c r="A218" s="31"/>
    </row>
    <row r="219" spans="1:1" ht="17.399999999999999" customHeight="1" x14ac:dyDescent="0.3">
      <c r="A219" s="31"/>
    </row>
    <row r="220" spans="1:1" ht="17.399999999999999" customHeight="1" x14ac:dyDescent="0.3">
      <c r="A220" s="31"/>
    </row>
    <row r="221" spans="1:1" ht="17.399999999999999" customHeight="1" x14ac:dyDescent="0.3">
      <c r="A221" s="31"/>
    </row>
    <row r="222" spans="1:1" ht="17.399999999999999" customHeight="1" x14ac:dyDescent="0.3">
      <c r="A222" s="31"/>
    </row>
    <row r="223" spans="1:1" ht="17.399999999999999" customHeight="1" x14ac:dyDescent="0.3">
      <c r="A223" s="31"/>
    </row>
    <row r="224" spans="1:1" ht="17.399999999999999" customHeight="1" x14ac:dyDescent="0.3">
      <c r="A224" s="31"/>
    </row>
    <row r="225" spans="1:1" ht="17.399999999999999" customHeight="1" x14ac:dyDescent="0.3">
      <c r="A225" s="31"/>
    </row>
    <row r="226" spans="1:1" ht="17.399999999999999" customHeight="1" x14ac:dyDescent="0.3">
      <c r="A226" s="31"/>
    </row>
    <row r="227" spans="1:1" ht="17.399999999999999" customHeight="1" x14ac:dyDescent="0.3">
      <c r="A227" s="31"/>
    </row>
    <row r="228" spans="1:1" ht="17.399999999999999" customHeight="1" x14ac:dyDescent="0.3">
      <c r="A228" s="31"/>
    </row>
    <row r="229" spans="1:1" ht="17.399999999999999" customHeight="1" x14ac:dyDescent="0.3">
      <c r="A229" s="31"/>
    </row>
    <row r="230" spans="1:1" ht="17.399999999999999" customHeight="1" x14ac:dyDescent="0.3">
      <c r="A230" s="31"/>
    </row>
    <row r="231" spans="1:1" ht="17.399999999999999" customHeight="1" x14ac:dyDescent="0.3">
      <c r="A231" s="31"/>
    </row>
    <row r="232" spans="1:1" ht="17.399999999999999" customHeight="1" x14ac:dyDescent="0.3">
      <c r="A232" s="31"/>
    </row>
    <row r="233" spans="1:1" ht="17.399999999999999" customHeight="1" x14ac:dyDescent="0.3">
      <c r="A233" s="31"/>
    </row>
    <row r="234" spans="1:1" ht="17.399999999999999" customHeight="1" x14ac:dyDescent="0.3">
      <c r="A234" s="31"/>
    </row>
    <row r="235" spans="1:1" ht="17.399999999999999" customHeight="1" x14ac:dyDescent="0.3">
      <c r="A235" s="31"/>
    </row>
    <row r="236" spans="1:1" ht="17.399999999999999" customHeight="1" x14ac:dyDescent="0.3">
      <c r="A236" s="31"/>
    </row>
    <row r="237" spans="1:1" ht="17.399999999999999" customHeight="1" x14ac:dyDescent="0.3">
      <c r="A237" s="31"/>
    </row>
    <row r="238" spans="1:1" ht="17.399999999999999" customHeight="1" x14ac:dyDescent="0.3">
      <c r="A238" s="31"/>
    </row>
    <row r="239" spans="1:1" ht="17.399999999999999" customHeight="1" x14ac:dyDescent="0.3">
      <c r="A239" s="31"/>
    </row>
    <row r="240" spans="1:1" ht="17.399999999999999" customHeight="1" x14ac:dyDescent="0.3">
      <c r="A240" s="31"/>
    </row>
    <row r="241" spans="1:1" ht="17.399999999999999" customHeight="1" x14ac:dyDescent="0.3">
      <c r="A241" s="31"/>
    </row>
    <row r="242" spans="1:1" ht="17.399999999999999" customHeight="1" x14ac:dyDescent="0.3">
      <c r="A242" s="31"/>
    </row>
  </sheetData>
  <sheetProtection sheet="1" objects="1" scenarios="1"/>
  <mergeCells count="25">
    <mergeCell ref="A154:D154"/>
    <mergeCell ref="A24:D24"/>
    <mergeCell ref="A61:D61"/>
    <mergeCell ref="A69:D69"/>
    <mergeCell ref="A70:D70"/>
    <mergeCell ref="A62:D62"/>
    <mergeCell ref="A25:D25"/>
    <mergeCell ref="A34:D34"/>
    <mergeCell ref="A48:D48"/>
    <mergeCell ref="A44:D44"/>
    <mergeCell ref="A76:D76"/>
    <mergeCell ref="A92:D92"/>
    <mergeCell ref="A135:D135"/>
    <mergeCell ref="A136:D136"/>
    <mergeCell ref="A89:D89"/>
    <mergeCell ref="A90:D90"/>
    <mergeCell ref="A91:D91"/>
    <mergeCell ref="A1:D1"/>
    <mergeCell ref="A2:D2"/>
    <mergeCell ref="A4:D4"/>
    <mergeCell ref="A15:D15"/>
    <mergeCell ref="A14:D14"/>
    <mergeCell ref="A3:D3"/>
    <mergeCell ref="A45:D45"/>
    <mergeCell ref="A46:D46"/>
  </mergeCells>
  <pageMargins left="0.59055118110236227" right="0.59055118110236227" top="0.78740157480314965" bottom="0.98425196850393704" header="0" footer="0"/>
  <pageSetup paperSize="9" scale="85" orientation="portrait" blackAndWhite="1" r:id="rId1"/>
  <colBreaks count="1" manualBreakCount="1">
    <brk id="4" max="173"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44"/>
  <sheetViews>
    <sheetView showGridLines="0" view="pageBreakPreview" topLeftCell="A61" zoomScaleNormal="100" zoomScaleSheetLayoutView="100" workbookViewId="0">
      <selection activeCell="A6" sqref="A6:H6"/>
    </sheetView>
  </sheetViews>
  <sheetFormatPr defaultColWidth="9.6640625" defaultRowHeight="18" customHeight="1" x14ac:dyDescent="0.3"/>
  <cols>
    <col min="1" max="1" width="3.33203125" style="34" customWidth="1"/>
    <col min="2" max="2" width="6.5546875" style="81" bestFit="1" customWidth="1"/>
    <col min="3" max="3" width="87.6640625" style="45" customWidth="1"/>
    <col min="4" max="5" width="9.6640625" style="45"/>
    <col min="6" max="6" width="49.5546875" style="45" bestFit="1" customWidth="1"/>
    <col min="7" max="16384" width="9.6640625" style="45"/>
  </cols>
  <sheetData>
    <row r="1" spans="1:3" ht="18" customHeight="1" x14ac:dyDescent="0.3">
      <c r="A1" s="127" t="s">
        <v>7</v>
      </c>
      <c r="B1" s="80">
        <v>26</v>
      </c>
      <c r="C1" s="91" t="s">
        <v>201</v>
      </c>
    </row>
    <row r="2" spans="1:3" ht="66" customHeight="1" x14ac:dyDescent="0.3">
      <c r="A2" s="34" t="s">
        <v>7</v>
      </c>
      <c r="C2" s="45" t="s">
        <v>1130</v>
      </c>
    </row>
    <row r="3" spans="1:3" ht="66" customHeight="1" x14ac:dyDescent="0.3">
      <c r="C3" s="45" t="s">
        <v>921</v>
      </c>
    </row>
    <row r="4" spans="1:3" ht="12" customHeight="1" x14ac:dyDescent="0.3">
      <c r="C4" s="89"/>
    </row>
    <row r="5" spans="1:3" ht="18" customHeight="1" x14ac:dyDescent="0.3">
      <c r="A5" s="127" t="s">
        <v>7</v>
      </c>
      <c r="B5" s="80">
        <v>27</v>
      </c>
      <c r="C5" s="90" t="s">
        <v>200</v>
      </c>
    </row>
    <row r="6" spans="1:3" ht="18" customHeight="1" x14ac:dyDescent="0.3">
      <c r="B6" s="80">
        <v>27.1</v>
      </c>
      <c r="C6" s="90" t="s">
        <v>202</v>
      </c>
    </row>
    <row r="7" spans="1:3" ht="36" customHeight="1" x14ac:dyDescent="0.3">
      <c r="C7" s="45" t="s">
        <v>393</v>
      </c>
    </row>
    <row r="8" spans="1:3" ht="60" customHeight="1" x14ac:dyDescent="0.3">
      <c r="C8" s="46" t="s">
        <v>394</v>
      </c>
    </row>
    <row r="9" spans="1:3" ht="36" customHeight="1" x14ac:dyDescent="0.3">
      <c r="C9" s="46" t="s">
        <v>243</v>
      </c>
    </row>
    <row r="10" spans="1:3" ht="42.6" customHeight="1" x14ac:dyDescent="0.3">
      <c r="C10" s="46" t="s">
        <v>843</v>
      </c>
    </row>
    <row r="11" spans="1:3" ht="12" customHeight="1" x14ac:dyDescent="0.3">
      <c r="C11" s="89"/>
    </row>
    <row r="12" spans="1:3" ht="18" customHeight="1" x14ac:dyDescent="0.3">
      <c r="B12" s="80">
        <v>27.2</v>
      </c>
      <c r="C12" s="90" t="s">
        <v>203</v>
      </c>
    </row>
    <row r="13" spans="1:3" ht="66" customHeight="1" x14ac:dyDescent="0.3">
      <c r="C13" s="45" t="s">
        <v>204</v>
      </c>
    </row>
    <row r="14" spans="1:3" ht="48" customHeight="1" x14ac:dyDescent="0.3">
      <c r="C14" s="45" t="s">
        <v>922</v>
      </c>
    </row>
    <row r="15" spans="1:3" ht="12" customHeight="1" x14ac:dyDescent="0.3">
      <c r="C15" s="89"/>
    </row>
    <row r="16" spans="1:3" ht="18" customHeight="1" x14ac:dyDescent="0.3">
      <c r="B16" s="80">
        <v>27.3</v>
      </c>
      <c r="C16" s="90" t="s">
        <v>205</v>
      </c>
    </row>
    <row r="17" spans="2:3" ht="66" customHeight="1" x14ac:dyDescent="0.3">
      <c r="C17" s="45" t="s">
        <v>244</v>
      </c>
    </row>
    <row r="19" spans="2:3" ht="18" customHeight="1" x14ac:dyDescent="0.3">
      <c r="B19" s="80">
        <v>27.4</v>
      </c>
      <c r="C19" s="90" t="s">
        <v>245</v>
      </c>
    </row>
    <row r="20" spans="2:3" ht="18" customHeight="1" x14ac:dyDescent="0.3">
      <c r="C20" s="91" t="s">
        <v>1093</v>
      </c>
    </row>
    <row r="21" spans="2:3" ht="36" customHeight="1" x14ac:dyDescent="0.3">
      <c r="C21" s="45" t="s">
        <v>246</v>
      </c>
    </row>
    <row r="22" spans="2:3" ht="18" customHeight="1" x14ac:dyDescent="0.3">
      <c r="C22" s="45" t="s">
        <v>247</v>
      </c>
    </row>
    <row r="23" spans="2:3" ht="18" customHeight="1" x14ac:dyDescent="0.3">
      <c r="C23" s="45" t="s">
        <v>248</v>
      </c>
    </row>
    <row r="24" spans="2:3" ht="36" customHeight="1" x14ac:dyDescent="0.3">
      <c r="C24" s="45" t="s">
        <v>249</v>
      </c>
    </row>
    <row r="25" spans="2:3" ht="18" customHeight="1" x14ac:dyDescent="0.3">
      <c r="C25" s="45" t="s">
        <v>250</v>
      </c>
    </row>
    <row r="26" spans="2:3" ht="12" customHeight="1" x14ac:dyDescent="0.3">
      <c r="C26" s="89"/>
    </row>
    <row r="27" spans="2:3" ht="18" customHeight="1" x14ac:dyDescent="0.3">
      <c r="C27" s="91" t="s">
        <v>1094</v>
      </c>
    </row>
    <row r="28" spans="2:3" ht="18" customHeight="1" x14ac:dyDescent="0.3">
      <c r="C28" s="45" t="s">
        <v>251</v>
      </c>
    </row>
    <row r="29" spans="2:3" ht="18" customHeight="1" x14ac:dyDescent="0.3">
      <c r="C29" s="45" t="s">
        <v>252</v>
      </c>
    </row>
    <row r="30" spans="2:3" ht="18" customHeight="1" x14ac:dyDescent="0.3">
      <c r="C30" s="45" t="s">
        <v>253</v>
      </c>
    </row>
    <row r="31" spans="2:3" ht="60" customHeight="1" x14ac:dyDescent="0.3">
      <c r="C31" s="45" t="s">
        <v>254</v>
      </c>
    </row>
    <row r="32" spans="2:3" ht="18" customHeight="1" x14ac:dyDescent="0.3">
      <c r="C32" s="45" t="s">
        <v>255</v>
      </c>
    </row>
    <row r="33" spans="1:3" ht="12" customHeight="1" x14ac:dyDescent="0.3">
      <c r="C33" s="89"/>
    </row>
    <row r="34" spans="1:3" ht="18" customHeight="1" x14ac:dyDescent="0.3">
      <c r="A34" s="127" t="s">
        <v>7</v>
      </c>
      <c r="B34" s="80">
        <v>28</v>
      </c>
      <c r="C34" s="90" t="s">
        <v>206</v>
      </c>
    </row>
    <row r="35" spans="1:3" ht="18" customHeight="1" x14ac:dyDescent="0.3">
      <c r="A35" s="127" t="s">
        <v>7</v>
      </c>
      <c r="B35" s="80">
        <v>28.1</v>
      </c>
      <c r="C35" s="90" t="s">
        <v>216</v>
      </c>
    </row>
    <row r="36" spans="1:3" ht="18" customHeight="1" x14ac:dyDescent="0.3">
      <c r="A36" s="127"/>
      <c r="C36" s="91" t="s">
        <v>1095</v>
      </c>
    </row>
    <row r="37" spans="1:3" ht="60" customHeight="1" x14ac:dyDescent="0.3">
      <c r="A37" s="127"/>
      <c r="C37" s="45" t="s">
        <v>217</v>
      </c>
    </row>
    <row r="38" spans="1:3" ht="75" customHeight="1" x14ac:dyDescent="0.3">
      <c r="A38" s="127"/>
      <c r="C38" s="45" t="s">
        <v>846</v>
      </c>
    </row>
    <row r="39" spans="1:3" ht="50.4" customHeight="1" x14ac:dyDescent="0.3">
      <c r="A39" s="127"/>
      <c r="C39" s="45" t="s">
        <v>214</v>
      </c>
    </row>
    <row r="40" spans="1:3" ht="51" customHeight="1" x14ac:dyDescent="0.3">
      <c r="A40" s="127"/>
      <c r="C40" s="45" t="s">
        <v>266</v>
      </c>
    </row>
    <row r="41" spans="1:3" ht="12" customHeight="1" x14ac:dyDescent="0.3">
      <c r="A41" s="127"/>
      <c r="C41" s="90"/>
    </row>
    <row r="42" spans="1:3" ht="18" customHeight="1" x14ac:dyDescent="0.3">
      <c r="A42" s="127"/>
      <c r="B42" s="81" t="s">
        <v>7</v>
      </c>
      <c r="C42" s="91" t="s">
        <v>1096</v>
      </c>
    </row>
    <row r="43" spans="1:3" ht="60" customHeight="1" x14ac:dyDescent="0.3">
      <c r="A43" s="127"/>
      <c r="C43" s="45" t="s">
        <v>218</v>
      </c>
    </row>
    <row r="44" spans="1:3" ht="36" customHeight="1" x14ac:dyDescent="0.3">
      <c r="A44" s="127"/>
      <c r="C44" s="45" t="s">
        <v>839</v>
      </c>
    </row>
    <row r="45" spans="1:3" ht="12" customHeight="1" x14ac:dyDescent="0.3">
      <c r="A45" s="127"/>
      <c r="C45" s="91"/>
    </row>
    <row r="46" spans="1:3" ht="18" customHeight="1" x14ac:dyDescent="0.3">
      <c r="A46" s="127"/>
      <c r="C46" s="91" t="s">
        <v>1097</v>
      </c>
    </row>
    <row r="47" spans="1:3" ht="36" customHeight="1" x14ac:dyDescent="0.3">
      <c r="A47" s="127"/>
      <c r="C47" s="45" t="s">
        <v>219</v>
      </c>
    </row>
    <row r="48" spans="1:3" ht="12" customHeight="1" x14ac:dyDescent="0.3">
      <c r="A48" s="127"/>
      <c r="C48" s="91"/>
    </row>
    <row r="49" spans="1:3" ht="18" customHeight="1" x14ac:dyDescent="0.3">
      <c r="A49" s="127"/>
      <c r="B49" s="80">
        <v>28.2</v>
      </c>
      <c r="C49" s="90" t="s">
        <v>220</v>
      </c>
    </row>
    <row r="50" spans="1:3" ht="107.4" customHeight="1" x14ac:dyDescent="0.3">
      <c r="A50" s="127"/>
      <c r="B50" s="81" t="s">
        <v>7</v>
      </c>
      <c r="C50" s="45" t="s">
        <v>221</v>
      </c>
    </row>
    <row r="51" spans="1:3" ht="18" customHeight="1" x14ac:dyDescent="0.3">
      <c r="A51" s="127"/>
      <c r="B51" s="81" t="s">
        <v>7</v>
      </c>
      <c r="C51" s="45" t="s">
        <v>256</v>
      </c>
    </row>
    <row r="52" spans="1:3" ht="12" customHeight="1" x14ac:dyDescent="0.3">
      <c r="A52" s="127"/>
      <c r="C52" s="90"/>
    </row>
    <row r="53" spans="1:3" ht="18" customHeight="1" x14ac:dyDescent="0.3">
      <c r="A53" s="127"/>
      <c r="B53" s="80">
        <v>28.3</v>
      </c>
      <c r="C53" s="90" t="s">
        <v>215</v>
      </c>
    </row>
    <row r="54" spans="1:3" ht="18" customHeight="1" x14ac:dyDescent="0.3">
      <c r="A54" s="127"/>
      <c r="B54" s="81" t="s">
        <v>7</v>
      </c>
      <c r="C54" s="45" t="s">
        <v>840</v>
      </c>
    </row>
    <row r="55" spans="1:3" ht="36" customHeight="1" x14ac:dyDescent="0.3">
      <c r="A55" s="127"/>
      <c r="C55" s="45" t="s">
        <v>271</v>
      </c>
    </row>
    <row r="56" spans="1:3" ht="36" customHeight="1" x14ac:dyDescent="0.3">
      <c r="A56" s="127"/>
      <c r="C56" s="45" t="s">
        <v>178</v>
      </c>
    </row>
    <row r="57" spans="1:3" ht="12" customHeight="1" x14ac:dyDescent="0.3">
      <c r="A57" s="127"/>
      <c r="C57" s="90"/>
    </row>
    <row r="58" spans="1:3" ht="18" customHeight="1" x14ac:dyDescent="0.3">
      <c r="A58" s="127"/>
      <c r="B58" s="80">
        <v>28.4</v>
      </c>
      <c r="C58" s="90" t="s">
        <v>222</v>
      </c>
    </row>
    <row r="59" spans="1:3" ht="43.2" x14ac:dyDescent="0.3">
      <c r="A59" s="127"/>
      <c r="B59" s="80"/>
      <c r="C59" s="45" t="s">
        <v>257</v>
      </c>
    </row>
    <row r="60" spans="1:3" ht="90" customHeight="1" x14ac:dyDescent="0.3">
      <c r="A60" s="127"/>
      <c r="B60" s="80"/>
      <c r="C60" s="45" t="s">
        <v>258</v>
      </c>
    </row>
    <row r="61" spans="1:3" ht="18" customHeight="1" x14ac:dyDescent="0.3">
      <c r="A61" s="127"/>
      <c r="C61" s="45" t="s">
        <v>259</v>
      </c>
    </row>
    <row r="62" spans="1:3" ht="18" customHeight="1" x14ac:dyDescent="0.3">
      <c r="A62" s="127"/>
      <c r="C62" s="89"/>
    </row>
    <row r="63" spans="1:3" ht="18" customHeight="1" x14ac:dyDescent="0.3">
      <c r="A63" s="127"/>
      <c r="B63" s="80">
        <v>28.5</v>
      </c>
      <c r="C63" s="90" t="s">
        <v>223</v>
      </c>
    </row>
    <row r="64" spans="1:3" ht="45" customHeight="1" x14ac:dyDescent="0.3">
      <c r="A64" s="127"/>
      <c r="C64" s="45" t="s">
        <v>923</v>
      </c>
    </row>
    <row r="65" spans="1:6" ht="12" customHeight="1" x14ac:dyDescent="0.3">
      <c r="A65" s="127"/>
      <c r="C65" s="90"/>
    </row>
    <row r="66" spans="1:6" ht="18" customHeight="1" x14ac:dyDescent="0.3">
      <c r="A66" s="127"/>
      <c r="B66" s="80">
        <v>28.6</v>
      </c>
      <c r="C66" s="90" t="s">
        <v>224</v>
      </c>
    </row>
    <row r="67" spans="1:6" ht="18" customHeight="1" x14ac:dyDescent="0.3">
      <c r="A67" s="127"/>
      <c r="C67" s="45" t="s">
        <v>260</v>
      </c>
    </row>
    <row r="68" spans="1:6" ht="45" customHeight="1" x14ac:dyDescent="0.3">
      <c r="A68" s="127"/>
      <c r="C68" s="45" t="s">
        <v>935</v>
      </c>
    </row>
    <row r="69" spans="1:6" ht="64.95" customHeight="1" x14ac:dyDescent="0.3">
      <c r="A69" s="127"/>
      <c r="C69" s="45" t="s">
        <v>936</v>
      </c>
    </row>
    <row r="70" spans="1:6" ht="45" customHeight="1" x14ac:dyDescent="0.3">
      <c r="A70" s="127"/>
      <c r="C70" s="45" t="s">
        <v>937</v>
      </c>
    </row>
    <row r="71" spans="1:6" ht="66" customHeight="1" x14ac:dyDescent="0.3">
      <c r="A71" s="127"/>
      <c r="C71" s="45" t="s">
        <v>182</v>
      </c>
    </row>
    <row r="72" spans="1:6" ht="36.6" customHeight="1" x14ac:dyDescent="0.3">
      <c r="A72" s="127"/>
      <c r="C72" s="45" t="s">
        <v>225</v>
      </c>
    </row>
    <row r="73" spans="1:6" ht="12" customHeight="1" x14ac:dyDescent="0.3">
      <c r="A73" s="127"/>
      <c r="C73" s="89"/>
    </row>
    <row r="74" spans="1:6" ht="18" customHeight="1" x14ac:dyDescent="0.3">
      <c r="A74" s="127"/>
      <c r="B74" s="80">
        <v>28.7</v>
      </c>
      <c r="C74" s="90" t="s">
        <v>226</v>
      </c>
    </row>
    <row r="75" spans="1:6" ht="66" customHeight="1" x14ac:dyDescent="0.3">
      <c r="A75" s="127"/>
      <c r="C75" s="45" t="s">
        <v>186</v>
      </c>
    </row>
    <row r="76" spans="1:6" ht="12" customHeight="1" x14ac:dyDescent="0.3">
      <c r="A76" s="127"/>
      <c r="C76" s="89"/>
    </row>
    <row r="77" spans="1:6" ht="18" customHeight="1" x14ac:dyDescent="0.3">
      <c r="A77" s="127"/>
      <c r="B77" s="80">
        <v>28.8</v>
      </c>
      <c r="C77" s="91" t="s">
        <v>227</v>
      </c>
    </row>
    <row r="78" spans="1:6" ht="66" customHeight="1" x14ac:dyDescent="0.3">
      <c r="A78" s="127"/>
      <c r="C78" s="45" t="s">
        <v>841</v>
      </c>
      <c r="F78" s="45" t="s">
        <v>7</v>
      </c>
    </row>
    <row r="79" spans="1:6" ht="15" customHeight="1" x14ac:dyDescent="0.3">
      <c r="A79" s="127"/>
      <c r="C79" s="89"/>
    </row>
    <row r="80" spans="1:6" ht="15" customHeight="1" x14ac:dyDescent="0.3">
      <c r="A80" s="127"/>
      <c r="C80" s="89"/>
    </row>
    <row r="81" spans="1:3" ht="15" customHeight="1" x14ac:dyDescent="0.3">
      <c r="A81" s="127"/>
      <c r="C81" s="89"/>
    </row>
    <row r="82" spans="1:3" ht="15" customHeight="1" x14ac:dyDescent="0.3">
      <c r="A82" s="127"/>
      <c r="C82" s="89"/>
    </row>
    <row r="83" spans="1:3" ht="18" customHeight="1" x14ac:dyDescent="0.3">
      <c r="A83" s="127"/>
      <c r="B83" s="80">
        <v>28.9</v>
      </c>
      <c r="C83" s="90" t="s">
        <v>228</v>
      </c>
    </row>
    <row r="84" spans="1:3" ht="18" customHeight="1" x14ac:dyDescent="0.3">
      <c r="A84" s="127"/>
      <c r="B84" s="81" t="s">
        <v>7</v>
      </c>
      <c r="C84" s="45" t="s">
        <v>261</v>
      </c>
    </row>
    <row r="85" spans="1:3" ht="96" customHeight="1" x14ac:dyDescent="0.3">
      <c r="A85" s="127"/>
      <c r="B85" s="81" t="s">
        <v>7</v>
      </c>
      <c r="C85" s="46" t="s">
        <v>940</v>
      </c>
    </row>
    <row r="86" spans="1:3" ht="28.8" x14ac:dyDescent="0.3">
      <c r="A86" s="127"/>
      <c r="C86" s="45" t="s">
        <v>939</v>
      </c>
    </row>
    <row r="87" spans="1:3" ht="12" customHeight="1" x14ac:dyDescent="0.3">
      <c r="A87" s="127"/>
      <c r="C87" s="89"/>
    </row>
    <row r="88" spans="1:3" ht="18" customHeight="1" x14ac:dyDescent="0.3">
      <c r="A88" s="127"/>
      <c r="B88" s="309">
        <v>28.1</v>
      </c>
      <c r="C88" s="90" t="s">
        <v>262</v>
      </c>
    </row>
    <row r="89" spans="1:3" ht="116.4" customHeight="1" x14ac:dyDescent="0.3">
      <c r="A89" s="127"/>
      <c r="C89" s="45" t="s">
        <v>185</v>
      </c>
    </row>
    <row r="90" spans="1:3" ht="12" customHeight="1" x14ac:dyDescent="0.3">
      <c r="A90" s="127"/>
      <c r="C90" s="90"/>
    </row>
    <row r="91" spans="1:3" ht="18" customHeight="1" x14ac:dyDescent="0.3">
      <c r="B91" s="80">
        <v>28.11</v>
      </c>
      <c r="C91" s="90" t="s">
        <v>207</v>
      </c>
    </row>
    <row r="92" spans="1:3" ht="45" customHeight="1" x14ac:dyDescent="0.3">
      <c r="C92" s="45" t="s">
        <v>184</v>
      </c>
    </row>
    <row r="93" spans="1:3" ht="18" customHeight="1" x14ac:dyDescent="0.3">
      <c r="C93" s="91" t="s">
        <v>1098</v>
      </c>
    </row>
    <row r="94" spans="1:3" ht="36" customHeight="1" x14ac:dyDescent="0.3">
      <c r="C94" s="45" t="s">
        <v>208</v>
      </c>
    </row>
    <row r="95" spans="1:3" ht="18" customHeight="1" x14ac:dyDescent="0.3">
      <c r="B95" s="81" t="s">
        <v>7</v>
      </c>
      <c r="C95" s="45" t="s">
        <v>209</v>
      </c>
    </row>
    <row r="96" spans="1:3" ht="36" customHeight="1" x14ac:dyDescent="0.3">
      <c r="C96" s="45" t="s">
        <v>210</v>
      </c>
    </row>
    <row r="97" spans="2:3" ht="18" customHeight="1" x14ac:dyDescent="0.3">
      <c r="C97" s="91" t="s">
        <v>1099</v>
      </c>
    </row>
    <row r="98" spans="2:3" ht="90" customHeight="1" x14ac:dyDescent="0.3">
      <c r="C98" s="45" t="s">
        <v>932</v>
      </c>
    </row>
    <row r="99" spans="2:3" ht="36" customHeight="1" x14ac:dyDescent="0.3">
      <c r="C99" s="45" t="s">
        <v>920</v>
      </c>
    </row>
    <row r="100" spans="2:3" ht="12" customHeight="1" x14ac:dyDescent="0.3">
      <c r="C100" s="89"/>
    </row>
    <row r="101" spans="2:3" ht="18" customHeight="1" x14ac:dyDescent="0.3">
      <c r="B101" s="80">
        <v>28.12</v>
      </c>
      <c r="C101" s="90" t="s">
        <v>211</v>
      </c>
    </row>
    <row r="102" spans="2:3" ht="36" customHeight="1" x14ac:dyDescent="0.3">
      <c r="C102" s="45" t="s">
        <v>177</v>
      </c>
    </row>
    <row r="103" spans="2:3" ht="12" customHeight="1" x14ac:dyDescent="0.3">
      <c r="C103" s="89"/>
    </row>
    <row r="104" spans="2:3" ht="18" customHeight="1" x14ac:dyDescent="0.3">
      <c r="B104" s="80">
        <v>28.13</v>
      </c>
      <c r="C104" s="90" t="s">
        <v>212</v>
      </c>
    </row>
    <row r="105" spans="2:3" ht="18" customHeight="1" x14ac:dyDescent="0.3">
      <c r="C105" s="91" t="s">
        <v>1104</v>
      </c>
    </row>
    <row r="106" spans="2:3" ht="60" customHeight="1" x14ac:dyDescent="0.3">
      <c r="C106" s="45" t="s">
        <v>213</v>
      </c>
    </row>
    <row r="107" spans="2:3" ht="18" customHeight="1" x14ac:dyDescent="0.3">
      <c r="C107" s="91" t="s">
        <v>1105</v>
      </c>
    </row>
    <row r="108" spans="2:3" ht="18" customHeight="1" x14ac:dyDescent="0.3">
      <c r="C108" s="91" t="s">
        <v>263</v>
      </c>
    </row>
    <row r="109" spans="2:3" ht="90" customHeight="1" x14ac:dyDescent="0.3">
      <c r="C109" s="45" t="s">
        <v>264</v>
      </c>
    </row>
    <row r="110" spans="2:3" ht="18" customHeight="1" x14ac:dyDescent="0.3">
      <c r="C110" s="172" t="s">
        <v>938</v>
      </c>
    </row>
    <row r="111" spans="2:3" ht="90.6" customHeight="1" x14ac:dyDescent="0.3">
      <c r="C111" s="45" t="s">
        <v>1100</v>
      </c>
    </row>
    <row r="112" spans="2:3" ht="12" customHeight="1" x14ac:dyDescent="0.3">
      <c r="C112" s="89"/>
    </row>
    <row r="113" spans="2:3" ht="18" customHeight="1" x14ac:dyDescent="0.3">
      <c r="B113" s="80">
        <v>28.14</v>
      </c>
      <c r="C113" s="90" t="s">
        <v>265</v>
      </c>
    </row>
    <row r="114" spans="2:3" ht="45" customHeight="1" x14ac:dyDescent="0.3">
      <c r="C114" s="45" t="s">
        <v>180</v>
      </c>
    </row>
    <row r="115" spans="2:3" ht="18" customHeight="1" x14ac:dyDescent="0.3">
      <c r="C115" s="45" t="s">
        <v>179</v>
      </c>
    </row>
    <row r="116" spans="2:3" ht="18" customHeight="1" x14ac:dyDescent="0.3">
      <c r="C116" s="45" t="s">
        <v>181</v>
      </c>
    </row>
    <row r="117" spans="2:3" ht="12" customHeight="1" x14ac:dyDescent="0.3">
      <c r="B117" s="81" t="s">
        <v>7</v>
      </c>
      <c r="C117" s="89"/>
    </row>
    <row r="118" spans="2:3" ht="18" customHeight="1" x14ac:dyDescent="0.3">
      <c r="B118" s="80">
        <v>28.15</v>
      </c>
      <c r="C118" s="90" t="s">
        <v>267</v>
      </c>
    </row>
    <row r="119" spans="2:3" ht="18" customHeight="1" x14ac:dyDescent="0.3">
      <c r="B119" s="80"/>
      <c r="C119" s="91" t="s">
        <v>1106</v>
      </c>
    </row>
    <row r="120" spans="2:3" ht="45" customHeight="1" x14ac:dyDescent="0.3">
      <c r="C120" s="46" t="s">
        <v>268</v>
      </c>
    </row>
    <row r="121" spans="2:3" ht="15" customHeight="1" x14ac:dyDescent="0.3">
      <c r="C121" s="92"/>
    </row>
    <row r="122" spans="2:3" ht="15" customHeight="1" x14ac:dyDescent="0.3">
      <c r="C122" s="92"/>
    </row>
    <row r="123" spans="2:3" ht="18" customHeight="1" x14ac:dyDescent="0.3">
      <c r="C123" s="91" t="s">
        <v>1107</v>
      </c>
    </row>
    <row r="124" spans="2:3" ht="66" customHeight="1" x14ac:dyDescent="0.3">
      <c r="C124" s="46" t="s">
        <v>269</v>
      </c>
    </row>
    <row r="125" spans="2:3" ht="12" customHeight="1" x14ac:dyDescent="0.3">
      <c r="C125" s="89"/>
    </row>
    <row r="126" spans="2:3" ht="18" customHeight="1" x14ac:dyDescent="0.3">
      <c r="B126" s="80">
        <v>28.16</v>
      </c>
      <c r="C126" s="90" t="s">
        <v>270</v>
      </c>
    </row>
    <row r="127" spans="2:3" ht="36" customHeight="1" x14ac:dyDescent="0.3">
      <c r="C127" s="45" t="s">
        <v>388</v>
      </c>
    </row>
    <row r="128" spans="2:3" ht="63" customHeight="1" x14ac:dyDescent="0.3">
      <c r="C128" s="45" t="s">
        <v>1101</v>
      </c>
    </row>
    <row r="129" spans="2:3" ht="18" customHeight="1" x14ac:dyDescent="0.3">
      <c r="C129" s="317" t="s">
        <v>1103</v>
      </c>
    </row>
    <row r="130" spans="2:3" ht="33" customHeight="1" x14ac:dyDescent="0.3">
      <c r="C130" s="316" t="s">
        <v>1102</v>
      </c>
    </row>
    <row r="131" spans="2:3" ht="36" customHeight="1" x14ac:dyDescent="0.3">
      <c r="C131" s="45" t="s">
        <v>389</v>
      </c>
    </row>
    <row r="132" spans="2:3" ht="18" customHeight="1" x14ac:dyDescent="0.3">
      <c r="C132" s="89"/>
    </row>
    <row r="133" spans="2:3" ht="18" customHeight="1" x14ac:dyDescent="0.3">
      <c r="B133" s="80" t="s">
        <v>7</v>
      </c>
      <c r="C133" s="91" t="s">
        <v>7</v>
      </c>
    </row>
    <row r="138" spans="2:3" ht="18" customHeight="1" x14ac:dyDescent="0.3">
      <c r="C138" s="45" t="s">
        <v>7</v>
      </c>
    </row>
    <row r="139" spans="2:3" ht="18" customHeight="1" x14ac:dyDescent="0.3">
      <c r="C139" s="45" t="s">
        <v>7</v>
      </c>
    </row>
    <row r="140" spans="2:3" ht="18" customHeight="1" x14ac:dyDescent="0.3">
      <c r="C140" s="45" t="s">
        <v>7</v>
      </c>
    </row>
    <row r="141" spans="2:3" ht="18" customHeight="1" x14ac:dyDescent="0.3">
      <c r="C141" s="45" t="s">
        <v>7</v>
      </c>
    </row>
    <row r="142" spans="2:3" ht="18" customHeight="1" x14ac:dyDescent="0.3">
      <c r="C142" s="45" t="s">
        <v>7</v>
      </c>
    </row>
    <row r="143" spans="2:3" ht="18" customHeight="1" x14ac:dyDescent="0.3">
      <c r="C143" s="45" t="s">
        <v>7</v>
      </c>
    </row>
    <row r="144" spans="2:3" ht="18" customHeight="1" x14ac:dyDescent="0.3">
      <c r="C144" s="45" t="s">
        <v>7</v>
      </c>
    </row>
  </sheetData>
  <sheetProtection sheet="1" objects="1" scenarios="1"/>
  <pageMargins left="0.59055118110236227" right="0.39370078740157483" top="1.9685039370078741" bottom="1.1811023622047245" header="0.78740157480314965" footer="0.59055118110236227"/>
  <pageSetup paperSize="9" scale="95" orientation="portrait" r:id="rId1"/>
  <headerFooter>
    <oddHeader>&amp;L&amp;"Arial,Bold"&amp;12M/s. PROGEN RENEWABLES LIMIRTED
87 A, First Floor, Sathy Road, Muniappan Koil Street, Ganapathy, Coimbatore - 641 006.
Notes Forming part of the Financial Statement for the year ended March 31, 2025.</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90ECE-919D-438A-89F4-C0C55F8CD0FD}">
  <dimension ref="A1:Q291"/>
  <sheetViews>
    <sheetView showGridLines="0" view="pageBreakPreview" topLeftCell="A274" zoomScaleNormal="100" zoomScaleSheetLayoutView="100" workbookViewId="0">
      <selection activeCell="A6" sqref="A6:I6"/>
    </sheetView>
  </sheetViews>
  <sheetFormatPr defaultColWidth="11.109375" defaultRowHeight="18" customHeight="1" x14ac:dyDescent="0.3"/>
  <cols>
    <col min="1" max="1" width="6.6640625" style="290" customWidth="1"/>
    <col min="2" max="3" width="9.44140625" style="290" customWidth="1"/>
    <col min="4" max="4" width="12.5546875" style="290" customWidth="1"/>
    <col min="5" max="5" width="12.33203125" style="290" customWidth="1"/>
    <col min="6" max="9" width="10.88671875" style="290" customWidth="1"/>
    <col min="10" max="11" width="13.88671875" style="290" bestFit="1" customWidth="1"/>
    <col min="12" max="12" width="21.6640625" style="290" bestFit="1" customWidth="1"/>
    <col min="13" max="14" width="16.6640625" style="290" bestFit="1" customWidth="1"/>
    <col min="15" max="15" width="15.5546875" style="290" bestFit="1" customWidth="1"/>
    <col min="16" max="16" width="9.5546875" style="290" bestFit="1" customWidth="1"/>
    <col min="17" max="17" width="15.5546875" style="290" bestFit="1" customWidth="1"/>
    <col min="18" max="18" width="5.33203125" style="290" bestFit="1" customWidth="1"/>
    <col min="19" max="16384" width="11.109375" style="290"/>
  </cols>
  <sheetData>
    <row r="1" spans="1:12" ht="18" customHeight="1" x14ac:dyDescent="0.3">
      <c r="A1" s="793" t="s">
        <v>273</v>
      </c>
      <c r="B1" s="793"/>
      <c r="C1" s="793"/>
      <c r="D1" s="793"/>
      <c r="E1" s="793"/>
      <c r="F1" s="793"/>
      <c r="G1" s="793"/>
      <c r="H1" s="793"/>
      <c r="I1" s="793"/>
    </row>
    <row r="2" spans="1:12" ht="18" customHeight="1" x14ac:dyDescent="0.3">
      <c r="A2" s="366" t="s">
        <v>1108</v>
      </c>
      <c r="B2" s="366"/>
      <c r="C2" s="366"/>
      <c r="D2" s="366"/>
      <c r="E2" s="366"/>
      <c r="F2" s="366"/>
      <c r="G2" s="366"/>
      <c r="H2" s="366"/>
      <c r="I2" s="366"/>
    </row>
    <row r="3" spans="1:12" ht="18" customHeight="1" x14ac:dyDescent="0.3">
      <c r="A3" s="364" t="s">
        <v>1109</v>
      </c>
      <c r="B3" s="364"/>
      <c r="C3" s="364"/>
      <c r="D3" s="364"/>
      <c r="E3" s="364"/>
      <c r="F3" s="364"/>
      <c r="G3" s="364"/>
      <c r="H3" s="364"/>
      <c r="I3" s="364"/>
    </row>
    <row r="4" spans="1:12" ht="90" customHeight="1" x14ac:dyDescent="0.3">
      <c r="A4" s="794" t="s">
        <v>409</v>
      </c>
      <c r="B4" s="794"/>
      <c r="C4" s="794"/>
      <c r="D4" s="794"/>
      <c r="E4" s="794"/>
      <c r="F4" s="794"/>
      <c r="G4" s="794"/>
      <c r="H4" s="794"/>
      <c r="I4" s="794"/>
    </row>
    <row r="5" spans="1:12" ht="18" customHeight="1" thickBot="1" x14ac:dyDescent="0.35">
      <c r="H5" s="678" t="s">
        <v>7</v>
      </c>
      <c r="I5" s="678"/>
    </row>
    <row r="6" spans="1:12" ht="33" customHeight="1" x14ac:dyDescent="0.3">
      <c r="A6" s="795" t="s">
        <v>274</v>
      </c>
      <c r="B6" s="796"/>
      <c r="C6" s="796"/>
      <c r="D6" s="796"/>
      <c r="E6" s="797"/>
      <c r="F6" s="493" t="s">
        <v>1</v>
      </c>
      <c r="G6" s="495"/>
      <c r="H6" s="567" t="s">
        <v>2</v>
      </c>
      <c r="I6" s="494"/>
    </row>
    <row r="7" spans="1:12" ht="18" customHeight="1" x14ac:dyDescent="0.3">
      <c r="A7" s="713" t="s">
        <v>275</v>
      </c>
      <c r="B7" s="363"/>
      <c r="C7" s="363"/>
      <c r="D7" s="363"/>
      <c r="E7" s="610"/>
      <c r="F7" s="534">
        <v>58173</v>
      </c>
      <c r="G7" s="535"/>
      <c r="H7" s="698">
        <v>38317</v>
      </c>
      <c r="I7" s="549"/>
      <c r="K7" s="290" t="s">
        <v>7</v>
      </c>
    </row>
    <row r="8" spans="1:12" ht="18" customHeight="1" x14ac:dyDescent="0.3">
      <c r="A8" s="770" t="s">
        <v>276</v>
      </c>
      <c r="B8" s="652"/>
      <c r="C8" s="652"/>
      <c r="D8" s="652"/>
      <c r="E8" s="608"/>
      <c r="F8" s="623">
        <v>56569</v>
      </c>
      <c r="G8" s="630"/>
      <c r="H8" s="786">
        <v>421752</v>
      </c>
      <c r="I8" s="624"/>
    </row>
    <row r="9" spans="1:12" ht="18" customHeight="1" thickBot="1" x14ac:dyDescent="0.35">
      <c r="A9" s="798" t="s">
        <v>277</v>
      </c>
      <c r="B9" s="426"/>
      <c r="C9" s="426"/>
      <c r="D9" s="426"/>
      <c r="E9" s="799"/>
      <c r="F9" s="760">
        <f>SUM(F7:G8)</f>
        <v>114742</v>
      </c>
      <c r="G9" s="761"/>
      <c r="H9" s="760">
        <f>SUM(H7:I8)</f>
        <v>460069</v>
      </c>
      <c r="I9" s="762"/>
    </row>
    <row r="10" spans="1:12" ht="18" customHeight="1" x14ac:dyDescent="0.3">
      <c r="A10" s="800"/>
      <c r="B10" s="800"/>
      <c r="C10" s="800"/>
      <c r="D10" s="800"/>
      <c r="E10" s="800"/>
      <c r="F10" s="800"/>
      <c r="G10" s="800"/>
      <c r="H10" s="800"/>
      <c r="I10" s="800"/>
    </row>
    <row r="11" spans="1:12" ht="18" customHeight="1" x14ac:dyDescent="0.3">
      <c r="A11" s="364" t="s">
        <v>1126</v>
      </c>
      <c r="B11" s="364"/>
      <c r="C11" s="364"/>
      <c r="D11" s="364"/>
      <c r="E11" s="364"/>
      <c r="F11" s="364"/>
      <c r="G11" s="364"/>
      <c r="H11" s="364"/>
      <c r="I11" s="364"/>
    </row>
    <row r="12" spans="1:12" ht="46.2" customHeight="1" x14ac:dyDescent="0.3">
      <c r="A12" s="733" t="s">
        <v>1127</v>
      </c>
      <c r="B12" s="733"/>
      <c r="C12" s="733"/>
      <c r="D12" s="733"/>
      <c r="E12" s="733"/>
      <c r="F12" s="733"/>
      <c r="G12" s="733"/>
      <c r="H12" s="733"/>
      <c r="I12" s="733"/>
    </row>
    <row r="13" spans="1:12" ht="47.4" customHeight="1" x14ac:dyDescent="0.3">
      <c r="A13" s="733" t="s">
        <v>1144</v>
      </c>
      <c r="B13" s="733"/>
      <c r="C13" s="733"/>
      <c r="D13" s="733"/>
      <c r="E13" s="733"/>
      <c r="F13" s="733"/>
      <c r="G13" s="733"/>
      <c r="H13" s="733"/>
      <c r="I13" s="733"/>
      <c r="L13" s="293" t="s">
        <v>7</v>
      </c>
    </row>
    <row r="14" spans="1:12" ht="18" customHeight="1" x14ac:dyDescent="0.3">
      <c r="A14" s="326"/>
      <c r="B14" s="326"/>
      <c r="C14" s="326"/>
      <c r="D14" s="326"/>
      <c r="E14" s="326"/>
      <c r="F14" s="326"/>
      <c r="G14" s="326"/>
      <c r="H14" s="326"/>
      <c r="I14" s="326"/>
    </row>
    <row r="15" spans="1:12" ht="18" customHeight="1" x14ac:dyDescent="0.3">
      <c r="A15" s="366" t="s">
        <v>1145</v>
      </c>
      <c r="B15" s="366"/>
      <c r="C15" s="366"/>
      <c r="D15" s="366"/>
      <c r="E15" s="366"/>
      <c r="F15" s="366"/>
      <c r="G15" s="366"/>
      <c r="H15" s="366"/>
      <c r="I15" s="366"/>
    </row>
    <row r="16" spans="1:12" ht="18" customHeight="1" x14ac:dyDescent="0.3">
      <c r="A16" s="364" t="s">
        <v>1110</v>
      </c>
      <c r="B16" s="364"/>
      <c r="C16" s="364"/>
      <c r="D16" s="364"/>
      <c r="E16" s="364"/>
      <c r="F16" s="364"/>
      <c r="G16" s="364"/>
      <c r="H16" s="364"/>
      <c r="I16" s="364"/>
    </row>
    <row r="17" spans="1:9" ht="18" customHeight="1" x14ac:dyDescent="0.3">
      <c r="A17" s="34">
        <v>1</v>
      </c>
      <c r="B17" s="364" t="s">
        <v>278</v>
      </c>
      <c r="C17" s="364"/>
      <c r="D17" s="364"/>
      <c r="E17" s="364"/>
      <c r="F17" s="364"/>
      <c r="G17" s="364"/>
      <c r="H17" s="364"/>
      <c r="I17" s="364"/>
    </row>
    <row r="18" spans="1:9" ht="18" customHeight="1" x14ac:dyDescent="0.3">
      <c r="A18" s="81"/>
      <c r="B18" s="363" t="s">
        <v>830</v>
      </c>
      <c r="C18" s="363"/>
      <c r="D18" s="363"/>
      <c r="E18" s="363"/>
      <c r="F18" s="363"/>
      <c r="G18" s="363"/>
      <c r="H18" s="363"/>
      <c r="I18" s="363"/>
    </row>
    <row r="19" spans="1:9" ht="18" customHeight="1" x14ac:dyDescent="0.3">
      <c r="A19" s="81"/>
      <c r="B19" s="363" t="s">
        <v>831</v>
      </c>
      <c r="C19" s="363"/>
      <c r="D19" s="363"/>
      <c r="E19" s="363"/>
      <c r="F19" s="363"/>
      <c r="G19" s="363"/>
      <c r="H19" s="363"/>
      <c r="I19" s="363"/>
    </row>
    <row r="20" spans="1:9" ht="18" customHeight="1" x14ac:dyDescent="0.3">
      <c r="A20" s="81"/>
      <c r="B20" s="363" t="s">
        <v>877</v>
      </c>
      <c r="C20" s="363"/>
      <c r="D20" s="363"/>
      <c r="E20" s="363"/>
      <c r="F20" s="363"/>
      <c r="G20" s="363"/>
      <c r="H20" s="363"/>
      <c r="I20" s="363"/>
    </row>
    <row r="21" spans="1:9" ht="18" customHeight="1" x14ac:dyDescent="0.3">
      <c r="A21" s="81"/>
      <c r="B21" s="363" t="s">
        <v>832</v>
      </c>
      <c r="C21" s="363"/>
      <c r="D21" s="363"/>
      <c r="E21" s="363"/>
      <c r="F21" s="363"/>
      <c r="G21" s="363"/>
      <c r="H21" s="363"/>
      <c r="I21" s="363"/>
    </row>
    <row r="22" spans="1:9" ht="18" customHeight="1" x14ac:dyDescent="0.3">
      <c r="A22" s="81"/>
      <c r="B22" s="81"/>
      <c r="C22" s="81"/>
      <c r="D22" s="81"/>
      <c r="E22" s="81"/>
      <c r="F22" s="81"/>
      <c r="G22" s="81"/>
      <c r="H22" s="81"/>
      <c r="I22" s="81"/>
    </row>
    <row r="23" spans="1:9" ht="18" customHeight="1" x14ac:dyDescent="0.3">
      <c r="A23" s="34">
        <v>2</v>
      </c>
      <c r="B23" s="80" t="s">
        <v>1140</v>
      </c>
      <c r="C23" s="81"/>
      <c r="D23" s="81"/>
      <c r="E23" s="81"/>
      <c r="F23" s="81"/>
      <c r="G23" s="81"/>
      <c r="H23" s="81"/>
      <c r="I23" s="81"/>
    </row>
    <row r="24" spans="1:9" ht="18" customHeight="1" x14ac:dyDescent="0.3">
      <c r="A24" s="81"/>
      <c r="B24" s="363" t="s">
        <v>1146</v>
      </c>
      <c r="C24" s="363"/>
      <c r="D24" s="363"/>
      <c r="E24" s="363"/>
      <c r="F24" s="363"/>
      <c r="G24" s="363"/>
      <c r="H24" s="363"/>
      <c r="I24" s="363"/>
    </row>
    <row r="25" spans="1:9" ht="18" customHeight="1" x14ac:dyDescent="0.3">
      <c r="A25" s="81"/>
      <c r="B25" s="363" t="s">
        <v>1147</v>
      </c>
      <c r="C25" s="363"/>
      <c r="D25" s="363"/>
      <c r="E25" s="363"/>
      <c r="F25" s="363"/>
      <c r="G25" s="363"/>
      <c r="H25" s="363"/>
      <c r="I25" s="363"/>
    </row>
    <row r="26" spans="1:9" ht="18" customHeight="1" x14ac:dyDescent="0.3">
      <c r="A26" s="81"/>
      <c r="B26" s="363" t="s">
        <v>1148</v>
      </c>
      <c r="C26" s="363"/>
      <c r="D26" s="363"/>
      <c r="E26" s="363"/>
      <c r="F26" s="363"/>
      <c r="G26" s="363"/>
      <c r="H26" s="363"/>
      <c r="I26" s="363"/>
    </row>
    <row r="27" spans="1:9" ht="9" customHeight="1" x14ac:dyDescent="0.3">
      <c r="A27" s="363" t="s">
        <v>7</v>
      </c>
      <c r="B27" s="363"/>
      <c r="C27" s="363"/>
      <c r="D27" s="363"/>
      <c r="E27" s="363"/>
      <c r="F27" s="363"/>
      <c r="G27" s="363"/>
      <c r="H27" s="363"/>
      <c r="I27" s="363"/>
    </row>
    <row r="28" spans="1:9" ht="18" customHeight="1" x14ac:dyDescent="0.3">
      <c r="A28" s="34">
        <v>3</v>
      </c>
      <c r="B28" s="364" t="s">
        <v>1005</v>
      </c>
      <c r="C28" s="364"/>
      <c r="D28" s="364"/>
      <c r="E28" s="364"/>
      <c r="F28" s="364"/>
      <c r="G28" s="364"/>
      <c r="H28" s="364"/>
      <c r="I28" s="364"/>
    </row>
    <row r="29" spans="1:9" ht="18" customHeight="1" x14ac:dyDescent="0.3">
      <c r="A29" s="81"/>
      <c r="B29" s="363" t="s">
        <v>834</v>
      </c>
      <c r="C29" s="363"/>
      <c r="D29" s="363"/>
      <c r="E29" s="363"/>
      <c r="F29" s="363"/>
      <c r="G29" s="363"/>
      <c r="H29" s="363"/>
      <c r="I29" s="363"/>
    </row>
    <row r="30" spans="1:9" ht="18" customHeight="1" x14ac:dyDescent="0.3">
      <c r="B30" s="363" t="s">
        <v>835</v>
      </c>
      <c r="C30" s="363"/>
      <c r="D30" s="363"/>
      <c r="E30" s="363"/>
      <c r="F30" s="363"/>
      <c r="G30" s="363"/>
      <c r="H30" s="363"/>
      <c r="I30" s="363"/>
    </row>
    <row r="31" spans="1:9" ht="18" customHeight="1" x14ac:dyDescent="0.3">
      <c r="B31" s="363" t="s">
        <v>836</v>
      </c>
      <c r="C31" s="363"/>
      <c r="D31" s="363"/>
      <c r="E31" s="363"/>
      <c r="F31" s="363"/>
      <c r="G31" s="363"/>
      <c r="H31" s="363"/>
      <c r="I31" s="363"/>
    </row>
    <row r="32" spans="1:9" ht="9" customHeight="1" x14ac:dyDescent="0.3">
      <c r="A32" s="363"/>
      <c r="B32" s="363"/>
      <c r="C32" s="363"/>
      <c r="D32" s="363"/>
      <c r="E32" s="363"/>
      <c r="F32" s="363"/>
      <c r="G32" s="363"/>
      <c r="H32" s="363"/>
      <c r="I32" s="363"/>
    </row>
    <row r="33" spans="1:9" ht="18" customHeight="1" x14ac:dyDescent="0.3">
      <c r="A33" s="34">
        <v>4</v>
      </c>
      <c r="B33" s="364" t="s">
        <v>410</v>
      </c>
      <c r="C33" s="364"/>
      <c r="D33" s="364"/>
      <c r="E33" s="364"/>
      <c r="F33" s="364"/>
      <c r="G33" s="364"/>
      <c r="H33" s="364"/>
      <c r="I33" s="364"/>
    </row>
    <row r="34" spans="1:9" ht="18" customHeight="1" x14ac:dyDescent="0.3">
      <c r="A34" s="81"/>
      <c r="B34" s="363" t="s">
        <v>833</v>
      </c>
      <c r="C34" s="363"/>
      <c r="D34" s="363"/>
      <c r="E34" s="363"/>
      <c r="F34" s="363"/>
      <c r="G34" s="363"/>
      <c r="H34" s="363"/>
      <c r="I34" s="363"/>
    </row>
    <row r="35" spans="1:9" ht="9" customHeight="1" x14ac:dyDescent="0.3">
      <c r="A35" s="363"/>
      <c r="B35" s="363"/>
      <c r="C35" s="363"/>
      <c r="D35" s="363"/>
      <c r="E35" s="363"/>
      <c r="F35" s="363"/>
      <c r="G35" s="363"/>
      <c r="H35" s="363"/>
      <c r="I35" s="363"/>
    </row>
    <row r="36" spans="1:9" ht="18" customHeight="1" x14ac:dyDescent="0.3">
      <c r="A36" s="34">
        <v>5</v>
      </c>
      <c r="B36" s="364" t="s">
        <v>906</v>
      </c>
      <c r="C36" s="364"/>
      <c r="D36" s="364"/>
      <c r="E36" s="364"/>
      <c r="F36" s="364"/>
      <c r="G36" s="364"/>
      <c r="H36" s="364"/>
      <c r="I36" s="364"/>
    </row>
    <row r="37" spans="1:9" ht="18" customHeight="1" x14ac:dyDescent="0.3">
      <c r="A37" s="81"/>
      <c r="B37" s="363" t="s">
        <v>904</v>
      </c>
      <c r="C37" s="363"/>
      <c r="D37" s="363"/>
      <c r="E37" s="363"/>
      <c r="F37" s="363"/>
      <c r="G37" s="363"/>
      <c r="H37" s="363"/>
      <c r="I37" s="363"/>
    </row>
    <row r="38" spans="1:9" ht="18" customHeight="1" x14ac:dyDescent="0.3">
      <c r="A38" s="81"/>
      <c r="B38" s="363" t="s">
        <v>905</v>
      </c>
      <c r="C38" s="363"/>
      <c r="D38" s="363"/>
      <c r="E38" s="363"/>
      <c r="F38" s="363"/>
      <c r="G38" s="363"/>
      <c r="H38" s="363"/>
      <c r="I38" s="363"/>
    </row>
    <row r="39" spans="1:9" ht="18" customHeight="1" x14ac:dyDescent="0.3">
      <c r="A39" s="81"/>
      <c r="B39" s="363" t="s">
        <v>907</v>
      </c>
      <c r="C39" s="363"/>
      <c r="D39" s="363"/>
      <c r="E39" s="363"/>
      <c r="F39" s="363"/>
      <c r="G39" s="363"/>
      <c r="H39" s="363"/>
      <c r="I39" s="363"/>
    </row>
    <row r="40" spans="1:9" ht="18" customHeight="1" x14ac:dyDescent="0.3">
      <c r="A40" s="363"/>
      <c r="B40" s="363"/>
      <c r="C40" s="363"/>
      <c r="D40" s="363"/>
      <c r="E40" s="363"/>
      <c r="F40" s="363"/>
      <c r="G40" s="363"/>
      <c r="H40" s="363"/>
      <c r="I40" s="363"/>
    </row>
    <row r="41" spans="1:9" ht="18" customHeight="1" x14ac:dyDescent="0.3">
      <c r="A41" s="366" t="s">
        <v>1149</v>
      </c>
      <c r="B41" s="366"/>
      <c r="C41" s="366"/>
      <c r="D41" s="366"/>
      <c r="E41" s="366"/>
      <c r="F41" s="366"/>
      <c r="G41" s="366"/>
      <c r="H41" s="366"/>
      <c r="I41" s="366"/>
    </row>
    <row r="42" spans="1:9" ht="18" customHeight="1" thickBot="1" x14ac:dyDescent="0.35">
      <c r="A42" s="80"/>
      <c r="B42" s="80"/>
      <c r="C42" s="80"/>
      <c r="D42" s="80"/>
      <c r="E42" s="80"/>
      <c r="F42" s="80"/>
      <c r="G42" s="80"/>
      <c r="H42" s="678" t="s">
        <v>7</v>
      </c>
      <c r="I42" s="678"/>
    </row>
    <row r="43" spans="1:9" ht="30" customHeight="1" x14ac:dyDescent="0.3">
      <c r="A43" s="41" t="s">
        <v>60</v>
      </c>
      <c r="B43" s="790" t="s">
        <v>279</v>
      </c>
      <c r="C43" s="763"/>
      <c r="D43" s="763"/>
      <c r="E43" s="791"/>
      <c r="F43" s="493" t="s">
        <v>1</v>
      </c>
      <c r="G43" s="495"/>
      <c r="H43" s="567" t="s">
        <v>2</v>
      </c>
      <c r="I43" s="494"/>
    </row>
    <row r="44" spans="1:9" ht="18" customHeight="1" x14ac:dyDescent="0.3">
      <c r="A44" s="32">
        <v>1</v>
      </c>
      <c r="B44" s="751" t="s">
        <v>915</v>
      </c>
      <c r="C44" s="752"/>
      <c r="D44" s="752"/>
      <c r="E44" s="753"/>
      <c r="F44" s="729" t="s">
        <v>7</v>
      </c>
      <c r="G44" s="792"/>
      <c r="H44" s="729" t="s">
        <v>7</v>
      </c>
      <c r="I44" s="730"/>
    </row>
    <row r="45" spans="1:9" ht="18" customHeight="1" x14ac:dyDescent="0.3">
      <c r="A45" s="32"/>
      <c r="B45" s="787" t="s">
        <v>910</v>
      </c>
      <c r="C45" s="788"/>
      <c r="D45" s="788"/>
      <c r="E45" s="789"/>
      <c r="F45" s="534">
        <v>3500000</v>
      </c>
      <c r="G45" s="535"/>
      <c r="H45" s="534">
        <v>0</v>
      </c>
      <c r="I45" s="549"/>
    </row>
    <row r="46" spans="1:9" ht="18" customHeight="1" x14ac:dyDescent="0.3">
      <c r="A46" s="32" t="s">
        <v>7</v>
      </c>
      <c r="B46" s="609" t="s">
        <v>911</v>
      </c>
      <c r="C46" s="363"/>
      <c r="D46" s="363"/>
      <c r="E46" s="610"/>
      <c r="F46" s="534">
        <v>3500000</v>
      </c>
      <c r="G46" s="535"/>
      <c r="H46" s="534">
        <v>0</v>
      </c>
      <c r="I46" s="549"/>
    </row>
    <row r="47" spans="1:9" ht="18" customHeight="1" x14ac:dyDescent="0.3">
      <c r="A47" s="32"/>
      <c r="B47" s="609" t="s">
        <v>912</v>
      </c>
      <c r="C47" s="363"/>
      <c r="D47" s="363"/>
      <c r="E47" s="610"/>
      <c r="F47" s="534">
        <v>350000</v>
      </c>
      <c r="G47" s="535"/>
      <c r="H47" s="534">
        <v>0</v>
      </c>
      <c r="I47" s="549"/>
    </row>
    <row r="48" spans="1:9" ht="18" customHeight="1" x14ac:dyDescent="0.3">
      <c r="A48" s="32">
        <v>2</v>
      </c>
      <c r="B48" s="735" t="s">
        <v>961</v>
      </c>
      <c r="C48" s="364"/>
      <c r="D48" s="364"/>
      <c r="E48" s="736"/>
      <c r="F48" s="534"/>
      <c r="G48" s="535"/>
      <c r="H48" s="534"/>
      <c r="I48" s="549"/>
    </row>
    <row r="49" spans="1:12" ht="18" customHeight="1" x14ac:dyDescent="0.3">
      <c r="A49" s="32"/>
      <c r="B49" s="609" t="s">
        <v>962</v>
      </c>
      <c r="C49" s="363"/>
      <c r="D49" s="363"/>
      <c r="E49" s="610"/>
      <c r="F49" s="534">
        <v>216666</v>
      </c>
      <c r="G49" s="535"/>
      <c r="H49" s="534">
        <v>0</v>
      </c>
      <c r="I49" s="549"/>
    </row>
    <row r="50" spans="1:12" ht="18" customHeight="1" x14ac:dyDescent="0.3">
      <c r="A50" s="32">
        <v>3</v>
      </c>
      <c r="B50" s="735" t="s">
        <v>914</v>
      </c>
      <c r="C50" s="364"/>
      <c r="D50" s="364"/>
      <c r="E50" s="736"/>
      <c r="F50" s="534" t="s">
        <v>7</v>
      </c>
      <c r="G50" s="535"/>
      <c r="H50" s="534" t="s">
        <v>7</v>
      </c>
      <c r="I50" s="549"/>
    </row>
    <row r="51" spans="1:12" ht="18" customHeight="1" x14ac:dyDescent="0.3">
      <c r="A51" s="32"/>
      <c r="B51" s="609" t="s">
        <v>913</v>
      </c>
      <c r="C51" s="363"/>
      <c r="D51" s="363"/>
      <c r="E51" s="610"/>
      <c r="F51" s="534">
        <v>389400</v>
      </c>
      <c r="G51" s="535"/>
      <c r="H51" s="534">
        <v>0</v>
      </c>
      <c r="I51" s="549"/>
    </row>
    <row r="52" spans="1:12" ht="18" customHeight="1" x14ac:dyDescent="0.3">
      <c r="A52" s="32">
        <v>4</v>
      </c>
      <c r="B52" s="735" t="s">
        <v>462</v>
      </c>
      <c r="C52" s="364"/>
      <c r="D52" s="364"/>
      <c r="E52" s="736"/>
      <c r="F52" s="534"/>
      <c r="G52" s="535"/>
      <c r="H52" s="534"/>
      <c r="I52" s="549"/>
    </row>
    <row r="53" spans="1:12" ht="18" customHeight="1" x14ac:dyDescent="0.3">
      <c r="A53" s="32"/>
      <c r="B53" s="609" t="s">
        <v>1138</v>
      </c>
      <c r="C53" s="363"/>
      <c r="D53" s="363"/>
      <c r="E53" s="610"/>
      <c r="F53" s="534">
        <v>619950</v>
      </c>
      <c r="G53" s="535"/>
      <c r="H53" s="534">
        <v>0</v>
      </c>
      <c r="I53" s="549"/>
    </row>
    <row r="54" spans="1:12" ht="18" customHeight="1" x14ac:dyDescent="0.3">
      <c r="A54" s="32">
        <v>5</v>
      </c>
      <c r="B54" s="735" t="s">
        <v>918</v>
      </c>
      <c r="C54" s="364"/>
      <c r="D54" s="364"/>
      <c r="E54" s="736"/>
      <c r="F54" s="534"/>
      <c r="G54" s="535"/>
      <c r="H54" s="534"/>
      <c r="I54" s="549"/>
    </row>
    <row r="55" spans="1:12" ht="18" customHeight="1" x14ac:dyDescent="0.3">
      <c r="A55" s="32"/>
      <c r="B55" s="609" t="s">
        <v>959</v>
      </c>
      <c r="C55" s="363"/>
      <c r="D55" s="363"/>
      <c r="E55" s="610"/>
      <c r="F55" s="534">
        <v>350000</v>
      </c>
      <c r="G55" s="535"/>
      <c r="H55" s="534">
        <v>0</v>
      </c>
      <c r="I55" s="549"/>
    </row>
    <row r="56" spans="1:12" ht="18" customHeight="1" x14ac:dyDescent="0.3">
      <c r="A56" s="32"/>
      <c r="B56" s="609" t="s">
        <v>910</v>
      </c>
      <c r="C56" s="363"/>
      <c r="D56" s="363"/>
      <c r="E56" s="610"/>
      <c r="F56" s="534">
        <v>11500000</v>
      </c>
      <c r="G56" s="535"/>
      <c r="H56" s="534">
        <v>0</v>
      </c>
      <c r="I56" s="549"/>
    </row>
    <row r="57" spans="1:12" ht="18" customHeight="1" x14ac:dyDescent="0.3">
      <c r="A57" s="32"/>
      <c r="B57" s="609" t="s">
        <v>912</v>
      </c>
      <c r="C57" s="363"/>
      <c r="D57" s="363"/>
      <c r="E57" s="610"/>
      <c r="F57" s="534">
        <v>6000000</v>
      </c>
      <c r="G57" s="535"/>
      <c r="H57" s="534">
        <v>0</v>
      </c>
      <c r="I57" s="549"/>
    </row>
    <row r="58" spans="1:12" ht="18" customHeight="1" x14ac:dyDescent="0.3">
      <c r="A58" s="32">
        <v>6</v>
      </c>
      <c r="B58" s="735" t="s">
        <v>919</v>
      </c>
      <c r="C58" s="364"/>
      <c r="D58" s="364"/>
      <c r="E58" s="736"/>
      <c r="F58" s="534"/>
      <c r="G58" s="535"/>
      <c r="H58" s="534"/>
      <c r="I58" s="549"/>
    </row>
    <row r="59" spans="1:12" ht="18" customHeight="1" x14ac:dyDescent="0.3">
      <c r="A59" s="32"/>
      <c r="B59" s="609" t="s">
        <v>959</v>
      </c>
      <c r="C59" s="363"/>
      <c r="D59" s="363"/>
      <c r="E59" s="610"/>
      <c r="F59" s="534">
        <v>210000</v>
      </c>
      <c r="G59" s="535"/>
      <c r="H59" s="534">
        <v>0</v>
      </c>
      <c r="I59" s="549"/>
    </row>
    <row r="60" spans="1:12" ht="18" customHeight="1" x14ac:dyDescent="0.3">
      <c r="A60" s="32"/>
      <c r="B60" s="609" t="s">
        <v>912</v>
      </c>
      <c r="C60" s="363"/>
      <c r="D60" s="363"/>
      <c r="E60" s="610"/>
      <c r="F60" s="534">
        <v>6000000</v>
      </c>
      <c r="G60" s="535"/>
      <c r="H60" s="534">
        <v>0</v>
      </c>
      <c r="I60" s="549"/>
      <c r="K60" s="291"/>
      <c r="L60" s="291"/>
    </row>
    <row r="61" spans="1:12" ht="18" customHeight="1" thickBot="1" x14ac:dyDescent="0.35">
      <c r="A61" s="292"/>
      <c r="B61" s="759" t="s">
        <v>7</v>
      </c>
      <c r="C61" s="715"/>
      <c r="D61" s="715"/>
      <c r="E61" s="716"/>
      <c r="F61" s="760" t="s">
        <v>7</v>
      </c>
      <c r="G61" s="761"/>
      <c r="H61" s="760" t="s">
        <v>7</v>
      </c>
      <c r="I61" s="762"/>
    </row>
    <row r="62" spans="1:12" ht="15" customHeight="1" x14ac:dyDescent="0.3">
      <c r="A62" s="364"/>
      <c r="B62" s="364"/>
      <c r="C62" s="364"/>
      <c r="D62" s="364"/>
      <c r="E62" s="364"/>
      <c r="F62" s="364"/>
      <c r="G62" s="364"/>
      <c r="H62" s="364"/>
      <c r="I62" s="364"/>
    </row>
    <row r="63" spans="1:12" ht="15" customHeight="1" x14ac:dyDescent="0.3">
      <c r="A63" s="80"/>
      <c r="B63" s="80"/>
      <c r="C63" s="80"/>
      <c r="D63" s="80"/>
      <c r="E63" s="80"/>
      <c r="F63" s="80"/>
      <c r="G63" s="80"/>
      <c r="H63" s="80"/>
      <c r="I63" s="80"/>
    </row>
    <row r="64" spans="1:12" ht="15" customHeight="1" x14ac:dyDescent="0.3">
      <c r="A64" s="80"/>
      <c r="B64" s="80"/>
      <c r="C64" s="80"/>
      <c r="D64" s="80"/>
      <c r="E64" s="80"/>
      <c r="F64" s="80"/>
      <c r="G64" s="80"/>
      <c r="H64" s="80"/>
      <c r="I64" s="80"/>
    </row>
    <row r="65" spans="1:10" ht="15" customHeight="1" x14ac:dyDescent="0.3">
      <c r="A65" s="80"/>
      <c r="B65" s="80"/>
      <c r="C65" s="80"/>
      <c r="D65" s="80"/>
      <c r="E65" s="80"/>
      <c r="F65" s="80"/>
      <c r="G65" s="80"/>
      <c r="H65" s="80"/>
      <c r="I65" s="80"/>
    </row>
    <row r="66" spans="1:10" ht="15" customHeight="1" x14ac:dyDescent="0.3">
      <c r="A66" s="80"/>
      <c r="B66" s="80"/>
      <c r="C66" s="80"/>
      <c r="D66" s="80"/>
      <c r="E66" s="80"/>
      <c r="F66" s="80"/>
      <c r="G66" s="80"/>
      <c r="H66" s="80"/>
      <c r="I66" s="80"/>
    </row>
    <row r="67" spans="1:10" ht="18" customHeight="1" x14ac:dyDescent="0.3">
      <c r="A67" s="366" t="s">
        <v>1111</v>
      </c>
      <c r="B67" s="366"/>
      <c r="C67" s="366"/>
      <c r="D67" s="366"/>
      <c r="E67" s="366"/>
      <c r="F67" s="366"/>
      <c r="G67" s="366"/>
      <c r="H67" s="366"/>
      <c r="I67" s="366"/>
    </row>
    <row r="68" spans="1:10" ht="18" customHeight="1" thickBot="1" x14ac:dyDescent="0.35">
      <c r="A68" s="80"/>
      <c r="B68" s="80"/>
      <c r="C68" s="80"/>
      <c r="D68" s="80"/>
      <c r="E68" s="80"/>
      <c r="F68" s="80"/>
      <c r="G68" s="80"/>
      <c r="H68" s="678" t="s">
        <v>7</v>
      </c>
      <c r="I68" s="678"/>
    </row>
    <row r="69" spans="1:10" ht="30" customHeight="1" x14ac:dyDescent="0.3">
      <c r="A69" s="41" t="s">
        <v>60</v>
      </c>
      <c r="B69" s="502" t="s">
        <v>0</v>
      </c>
      <c r="C69" s="504"/>
      <c r="D69" s="504"/>
      <c r="E69" s="503"/>
      <c r="F69" s="493" t="s">
        <v>280</v>
      </c>
      <c r="G69" s="495"/>
      <c r="H69" s="567" t="s">
        <v>281</v>
      </c>
      <c r="I69" s="494"/>
    </row>
    <row r="70" spans="1:10" ht="18" customHeight="1" x14ac:dyDescent="0.3">
      <c r="A70" s="32">
        <v>1</v>
      </c>
      <c r="B70" s="751" t="s">
        <v>963</v>
      </c>
      <c r="C70" s="752"/>
      <c r="D70" s="752"/>
      <c r="E70" s="753"/>
      <c r="F70" s="756"/>
      <c r="G70" s="757"/>
      <c r="H70" s="756" t="s">
        <v>7</v>
      </c>
      <c r="I70" s="758"/>
    </row>
    <row r="71" spans="1:10" ht="18" customHeight="1" x14ac:dyDescent="0.3">
      <c r="A71" s="32"/>
      <c r="B71" s="609" t="s">
        <v>864</v>
      </c>
      <c r="C71" s="363"/>
      <c r="D71" s="363"/>
      <c r="E71" s="610"/>
      <c r="F71" s="737">
        <v>0</v>
      </c>
      <c r="G71" s="738"/>
      <c r="H71" s="737">
        <v>2500000</v>
      </c>
      <c r="I71" s="739"/>
    </row>
    <row r="72" spans="1:10" ht="18" customHeight="1" x14ac:dyDescent="0.3">
      <c r="A72" s="32"/>
      <c r="B72" s="609" t="s">
        <v>865</v>
      </c>
      <c r="C72" s="363"/>
      <c r="D72" s="363"/>
      <c r="E72" s="610"/>
      <c r="F72" s="737">
        <v>1814</v>
      </c>
      <c r="G72" s="738"/>
      <c r="H72" s="737">
        <v>1329575</v>
      </c>
      <c r="I72" s="739"/>
    </row>
    <row r="73" spans="1:10" ht="18" customHeight="1" x14ac:dyDescent="0.3">
      <c r="A73" s="32"/>
      <c r="B73" s="609" t="s">
        <v>917</v>
      </c>
      <c r="C73" s="363"/>
      <c r="D73" s="363"/>
      <c r="E73" s="610"/>
      <c r="F73" s="737">
        <v>11500000</v>
      </c>
      <c r="G73" s="738"/>
      <c r="H73" s="737">
        <v>0</v>
      </c>
      <c r="I73" s="739"/>
    </row>
    <row r="74" spans="1:10" ht="18" customHeight="1" x14ac:dyDescent="0.3">
      <c r="A74" s="32">
        <v>2</v>
      </c>
      <c r="B74" s="735" t="s">
        <v>964</v>
      </c>
      <c r="C74" s="364"/>
      <c r="D74" s="364"/>
      <c r="E74" s="736"/>
      <c r="F74" s="737"/>
      <c r="G74" s="738"/>
      <c r="H74" s="737" t="s">
        <v>7</v>
      </c>
      <c r="I74" s="739"/>
    </row>
    <row r="75" spans="1:10" ht="18" customHeight="1" x14ac:dyDescent="0.3">
      <c r="A75" s="32" t="s">
        <v>7</v>
      </c>
      <c r="B75" s="609" t="s">
        <v>868</v>
      </c>
      <c r="C75" s="363"/>
      <c r="D75" s="363"/>
      <c r="E75" s="610"/>
      <c r="F75" s="737">
        <v>0</v>
      </c>
      <c r="G75" s="738"/>
      <c r="H75" s="737">
        <v>500066</v>
      </c>
      <c r="I75" s="739"/>
      <c r="J75" s="291"/>
    </row>
    <row r="76" spans="1:10" ht="18" customHeight="1" x14ac:dyDescent="0.3">
      <c r="A76" s="32"/>
      <c r="B76" s="609" t="s">
        <v>995</v>
      </c>
      <c r="C76" s="363"/>
      <c r="D76" s="363"/>
      <c r="E76" s="610"/>
      <c r="F76" s="470">
        <v>547201</v>
      </c>
      <c r="G76" s="471"/>
      <c r="H76" s="737">
        <v>0</v>
      </c>
      <c r="I76" s="739"/>
      <c r="J76" s="291"/>
    </row>
    <row r="77" spans="1:10" ht="18" customHeight="1" x14ac:dyDescent="0.3">
      <c r="A77" s="32"/>
      <c r="B77" s="609" t="s">
        <v>994</v>
      </c>
      <c r="C77" s="363"/>
      <c r="D77" s="363"/>
      <c r="E77" s="610"/>
      <c r="F77" s="737">
        <v>0</v>
      </c>
      <c r="G77" s="738"/>
      <c r="H77" s="737">
        <v>850000</v>
      </c>
      <c r="I77" s="739"/>
      <c r="J77" s="291"/>
    </row>
    <row r="78" spans="1:10" ht="18" customHeight="1" x14ac:dyDescent="0.3">
      <c r="A78" s="32">
        <v>3</v>
      </c>
      <c r="B78" s="735" t="s">
        <v>965</v>
      </c>
      <c r="C78" s="364"/>
      <c r="D78" s="364"/>
      <c r="E78" s="736"/>
      <c r="F78" s="737" t="s">
        <v>7</v>
      </c>
      <c r="G78" s="738"/>
      <c r="H78" s="737" t="s">
        <v>7</v>
      </c>
      <c r="I78" s="739"/>
      <c r="J78" s="291"/>
    </row>
    <row r="79" spans="1:10" ht="18" customHeight="1" x14ac:dyDescent="0.3">
      <c r="A79" s="32"/>
      <c r="B79" s="609" t="s">
        <v>866</v>
      </c>
      <c r="C79" s="363"/>
      <c r="D79" s="363"/>
      <c r="E79" s="610"/>
      <c r="F79" s="737">
        <v>0</v>
      </c>
      <c r="G79" s="738"/>
      <c r="H79" s="737">
        <v>205000</v>
      </c>
      <c r="I79" s="739"/>
      <c r="J79" s="291"/>
    </row>
    <row r="80" spans="1:10" ht="18" customHeight="1" x14ac:dyDescent="0.3">
      <c r="A80" s="32"/>
      <c r="B80" s="609" t="s">
        <v>867</v>
      </c>
      <c r="C80" s="363"/>
      <c r="D80" s="363"/>
      <c r="E80" s="610"/>
      <c r="F80" s="737">
        <v>9275</v>
      </c>
      <c r="G80" s="738"/>
      <c r="H80" s="737">
        <v>190951</v>
      </c>
      <c r="I80" s="739"/>
      <c r="J80" s="291"/>
    </row>
    <row r="81" spans="1:10" ht="18" customHeight="1" x14ac:dyDescent="0.3">
      <c r="A81" s="32">
        <v>4</v>
      </c>
      <c r="B81" s="735" t="s">
        <v>966</v>
      </c>
      <c r="C81" s="364"/>
      <c r="D81" s="364"/>
      <c r="E81" s="736"/>
      <c r="F81" s="737"/>
      <c r="G81" s="738"/>
      <c r="H81" s="737"/>
      <c r="I81" s="739"/>
      <c r="J81" s="291"/>
    </row>
    <row r="82" spans="1:10" ht="18" customHeight="1" x14ac:dyDescent="0.3">
      <c r="A82" s="32"/>
      <c r="B82" s="609" t="s">
        <v>967</v>
      </c>
      <c r="C82" s="363"/>
      <c r="D82" s="363"/>
      <c r="E82" s="610"/>
      <c r="F82" s="737">
        <v>108333</v>
      </c>
      <c r="G82" s="738"/>
      <c r="H82" s="737">
        <v>0</v>
      </c>
      <c r="I82" s="739"/>
      <c r="J82" s="291"/>
    </row>
    <row r="83" spans="1:10" ht="18" customHeight="1" x14ac:dyDescent="0.3">
      <c r="A83" s="32">
        <v>5</v>
      </c>
      <c r="B83" s="735" t="s">
        <v>970</v>
      </c>
      <c r="C83" s="364"/>
      <c r="D83" s="364"/>
      <c r="E83" s="736"/>
      <c r="F83" s="737"/>
      <c r="G83" s="738"/>
      <c r="H83" s="737"/>
      <c r="I83" s="739"/>
      <c r="J83" s="291"/>
    </row>
    <row r="84" spans="1:10" ht="18" customHeight="1" x14ac:dyDescent="0.3">
      <c r="A84" s="32"/>
      <c r="B84" s="609" t="s">
        <v>869</v>
      </c>
      <c r="C84" s="363"/>
      <c r="D84" s="363"/>
      <c r="E84" s="610"/>
      <c r="F84" s="737">
        <v>0</v>
      </c>
      <c r="G84" s="738"/>
      <c r="H84" s="737">
        <v>17417404</v>
      </c>
      <c r="I84" s="739"/>
      <c r="J84" s="291"/>
    </row>
    <row r="85" spans="1:10" ht="18" customHeight="1" x14ac:dyDescent="0.3">
      <c r="A85" s="32">
        <v>6</v>
      </c>
      <c r="B85" s="735" t="s">
        <v>969</v>
      </c>
      <c r="C85" s="364"/>
      <c r="D85" s="364"/>
      <c r="E85" s="736"/>
      <c r="F85" s="737"/>
      <c r="G85" s="738"/>
      <c r="H85" s="737" t="s">
        <v>7</v>
      </c>
      <c r="I85" s="739"/>
      <c r="J85" s="291"/>
    </row>
    <row r="86" spans="1:10" ht="18" customHeight="1" x14ac:dyDescent="0.3">
      <c r="A86" s="32"/>
      <c r="B86" s="609" t="s">
        <v>971</v>
      </c>
      <c r="C86" s="363"/>
      <c r="D86" s="363"/>
      <c r="E86" s="610"/>
      <c r="F86" s="737">
        <v>0</v>
      </c>
      <c r="G86" s="738"/>
      <c r="H86" s="737">
        <v>61995</v>
      </c>
      <c r="I86" s="739"/>
      <c r="J86" s="291"/>
    </row>
    <row r="87" spans="1:10" ht="18" customHeight="1" x14ac:dyDescent="0.3">
      <c r="A87" s="32">
        <v>7</v>
      </c>
      <c r="B87" s="735" t="s">
        <v>1006</v>
      </c>
      <c r="C87" s="364"/>
      <c r="D87" s="364"/>
      <c r="E87" s="736"/>
      <c r="F87" s="737"/>
      <c r="G87" s="738"/>
      <c r="H87" s="737"/>
      <c r="I87" s="739"/>
      <c r="J87" s="291"/>
    </row>
    <row r="88" spans="1:10" ht="18" customHeight="1" x14ac:dyDescent="0.3">
      <c r="A88" s="32"/>
      <c r="B88" s="609" t="s">
        <v>968</v>
      </c>
      <c r="C88" s="363"/>
      <c r="D88" s="363"/>
      <c r="E88" s="610"/>
      <c r="F88" s="737">
        <v>1600</v>
      </c>
      <c r="G88" s="738"/>
      <c r="H88" s="737">
        <v>0</v>
      </c>
      <c r="I88" s="739"/>
      <c r="J88" s="291"/>
    </row>
    <row r="89" spans="1:10" ht="18" customHeight="1" x14ac:dyDescent="0.3">
      <c r="A89" s="32">
        <v>8</v>
      </c>
      <c r="B89" s="735" t="s">
        <v>908</v>
      </c>
      <c r="C89" s="364"/>
      <c r="D89" s="364"/>
      <c r="E89" s="736"/>
      <c r="F89" s="737"/>
      <c r="G89" s="738"/>
      <c r="H89" s="737"/>
      <c r="I89" s="739"/>
      <c r="J89" s="291"/>
    </row>
    <row r="90" spans="1:10" ht="18" customHeight="1" x14ac:dyDescent="0.3">
      <c r="A90" s="32"/>
      <c r="B90" s="609" t="s">
        <v>909</v>
      </c>
      <c r="C90" s="363"/>
      <c r="D90" s="363"/>
      <c r="E90" s="610"/>
      <c r="F90" s="737">
        <v>389400</v>
      </c>
      <c r="G90" s="738"/>
      <c r="H90" s="737">
        <v>0</v>
      </c>
      <c r="I90" s="739"/>
      <c r="J90" s="291"/>
    </row>
    <row r="91" spans="1:10" ht="18" customHeight="1" x14ac:dyDescent="0.3">
      <c r="A91" s="32">
        <v>9</v>
      </c>
      <c r="B91" s="735" t="s">
        <v>916</v>
      </c>
      <c r="C91" s="364"/>
      <c r="D91" s="364"/>
      <c r="E91" s="736"/>
      <c r="F91" s="737"/>
      <c r="G91" s="738"/>
      <c r="H91" s="737"/>
      <c r="I91" s="739"/>
      <c r="J91" s="291"/>
    </row>
    <row r="92" spans="1:10" ht="18" customHeight="1" x14ac:dyDescent="0.3">
      <c r="A92" s="32"/>
      <c r="B92" s="609" t="s">
        <v>960</v>
      </c>
      <c r="C92" s="363"/>
      <c r="D92" s="363"/>
      <c r="E92" s="610"/>
      <c r="F92" s="737">
        <v>140000</v>
      </c>
      <c r="G92" s="738"/>
      <c r="H92" s="737">
        <v>0</v>
      </c>
      <c r="I92" s="739"/>
      <c r="J92" s="291"/>
    </row>
    <row r="93" spans="1:10" ht="18" customHeight="1" thickBot="1" x14ac:dyDescent="0.35">
      <c r="A93" s="33"/>
      <c r="B93" s="759"/>
      <c r="C93" s="715"/>
      <c r="D93" s="715"/>
      <c r="E93" s="716"/>
      <c r="F93" s="779"/>
      <c r="G93" s="809"/>
      <c r="H93" s="779" t="s">
        <v>7</v>
      </c>
      <c r="I93" s="780"/>
      <c r="J93" s="291"/>
    </row>
    <row r="94" spans="1:10" ht="18" customHeight="1" x14ac:dyDescent="0.3">
      <c r="A94" s="370"/>
      <c r="B94" s="370"/>
      <c r="C94" s="370"/>
      <c r="D94" s="370"/>
      <c r="E94" s="370"/>
      <c r="F94" s="370"/>
      <c r="G94" s="370"/>
      <c r="H94" s="370"/>
      <c r="I94" s="370"/>
    </row>
    <row r="95" spans="1:10" ht="18" customHeight="1" x14ac:dyDescent="0.3">
      <c r="A95" s="81"/>
      <c r="B95" s="81"/>
      <c r="C95" s="81"/>
      <c r="D95" s="81"/>
      <c r="E95" s="81"/>
      <c r="F95" s="81"/>
      <c r="G95" s="81"/>
      <c r="H95" s="81"/>
      <c r="I95" s="81"/>
    </row>
    <row r="96" spans="1:10" ht="18" customHeight="1" x14ac:dyDescent="0.3">
      <c r="A96" s="81"/>
      <c r="B96" s="81"/>
      <c r="C96" s="81"/>
      <c r="D96" s="81"/>
      <c r="E96" s="81"/>
      <c r="F96" s="81"/>
      <c r="G96" s="81"/>
      <c r="H96" s="81"/>
      <c r="I96" s="81"/>
    </row>
    <row r="97" spans="1:17" ht="18" customHeight="1" x14ac:dyDescent="0.3">
      <c r="A97" s="81"/>
      <c r="B97" s="81"/>
      <c r="C97" s="81"/>
      <c r="D97" s="81"/>
      <c r="E97" s="81"/>
      <c r="F97" s="81"/>
      <c r="G97" s="81"/>
      <c r="H97" s="81"/>
      <c r="I97" s="81"/>
    </row>
    <row r="98" spans="1:17" ht="18" customHeight="1" x14ac:dyDescent="0.3">
      <c r="A98" s="81"/>
      <c r="B98" s="81"/>
      <c r="C98" s="81"/>
      <c r="D98" s="81"/>
      <c r="E98" s="81"/>
      <c r="F98" s="81"/>
      <c r="G98" s="81"/>
      <c r="H98" s="81"/>
      <c r="I98" s="81"/>
    </row>
    <row r="99" spans="1:17" ht="18" customHeight="1" x14ac:dyDescent="0.3">
      <c r="A99" s="81"/>
      <c r="B99" s="81"/>
      <c r="C99" s="81"/>
      <c r="D99" s="81"/>
      <c r="E99" s="81"/>
      <c r="F99" s="81"/>
      <c r="G99" s="81"/>
      <c r="H99" s="81"/>
      <c r="I99" s="81"/>
    </row>
    <row r="100" spans="1:17" ht="18" customHeight="1" x14ac:dyDescent="0.3">
      <c r="A100" s="81"/>
      <c r="B100" s="81"/>
      <c r="C100" s="81"/>
      <c r="D100" s="81"/>
      <c r="E100" s="81"/>
      <c r="F100" s="81"/>
      <c r="G100" s="81"/>
      <c r="H100" s="81"/>
      <c r="I100" s="81"/>
    </row>
    <row r="101" spans="1:17" ht="18" customHeight="1" x14ac:dyDescent="0.3">
      <c r="A101" s="81"/>
      <c r="B101" s="81"/>
      <c r="C101" s="81"/>
      <c r="D101" s="81"/>
      <c r="E101" s="81"/>
      <c r="F101" s="81"/>
      <c r="G101" s="81"/>
      <c r="H101" s="81"/>
      <c r="I101" s="81"/>
    </row>
    <row r="102" spans="1:17" ht="17.399999999999999" customHeight="1" x14ac:dyDescent="0.3">
      <c r="A102" s="682" t="s">
        <v>1112</v>
      </c>
      <c r="B102" s="682"/>
      <c r="C102" s="682"/>
      <c r="D102" s="682"/>
      <c r="E102" s="682"/>
      <c r="F102" s="682"/>
      <c r="G102" s="682"/>
      <c r="H102" s="682"/>
      <c r="I102" s="682"/>
    </row>
    <row r="103" spans="1:17" ht="17.399999999999999" customHeight="1" x14ac:dyDescent="0.3">
      <c r="A103" s="364" t="s">
        <v>1150</v>
      </c>
      <c r="B103" s="364"/>
      <c r="C103" s="364"/>
      <c r="D103" s="364"/>
      <c r="E103" s="364"/>
      <c r="F103" s="364"/>
      <c r="G103" s="364"/>
      <c r="H103" s="364"/>
      <c r="I103" s="364"/>
    </row>
    <row r="104" spans="1:17" ht="17.399999999999999" customHeight="1" thickBot="1" x14ac:dyDescent="0.35">
      <c r="A104" s="80"/>
      <c r="B104" s="80"/>
      <c r="C104" s="80"/>
      <c r="D104" s="80"/>
      <c r="E104" s="80"/>
      <c r="F104" s="80"/>
      <c r="G104" s="80"/>
      <c r="H104" s="678" t="s">
        <v>7</v>
      </c>
      <c r="I104" s="678"/>
    </row>
    <row r="105" spans="1:17" ht="17.399999999999999" customHeight="1" x14ac:dyDescent="0.3">
      <c r="A105" s="710" t="s">
        <v>282</v>
      </c>
      <c r="B105" s="504"/>
      <c r="C105" s="504"/>
      <c r="D105" s="504"/>
      <c r="E105" s="504"/>
      <c r="F105" s="504"/>
      <c r="G105" s="503"/>
      <c r="H105" s="763" t="s">
        <v>1039</v>
      </c>
      <c r="I105" s="764"/>
    </row>
    <row r="106" spans="1:17" ht="17.399999999999999" customHeight="1" x14ac:dyDescent="0.3">
      <c r="A106" s="743" t="s">
        <v>1018</v>
      </c>
      <c r="B106" s="364"/>
      <c r="C106" s="364"/>
      <c r="D106" s="364"/>
      <c r="E106" s="364"/>
      <c r="F106" s="364"/>
      <c r="G106" s="736"/>
      <c r="H106" s="834"/>
      <c r="I106" s="835"/>
      <c r="L106" s="740"/>
      <c r="M106" s="740"/>
      <c r="N106" s="740"/>
    </row>
    <row r="107" spans="1:17" ht="17.399999999999999" customHeight="1" x14ac:dyDescent="0.3">
      <c r="A107" s="744" t="s">
        <v>1040</v>
      </c>
      <c r="B107" s="591"/>
      <c r="C107" s="591"/>
      <c r="D107" s="591"/>
      <c r="E107" s="591"/>
      <c r="F107" s="591"/>
      <c r="G107" s="745"/>
      <c r="H107" s="765"/>
      <c r="I107" s="766"/>
      <c r="L107" s="81"/>
      <c r="M107" s="293"/>
      <c r="N107" s="293"/>
      <c r="O107" s="293"/>
      <c r="P107" s="294"/>
      <c r="Q107" s="293"/>
    </row>
    <row r="108" spans="1:17" ht="17.399999999999999" customHeight="1" x14ac:dyDescent="0.3">
      <c r="A108" s="830" t="s">
        <v>0</v>
      </c>
      <c r="B108" s="785"/>
      <c r="C108" s="785"/>
      <c r="D108" s="785"/>
      <c r="E108" s="728"/>
      <c r="F108" s="785" t="s">
        <v>22</v>
      </c>
      <c r="G108" s="728"/>
      <c r="H108" s="754"/>
      <c r="I108" s="755"/>
      <c r="M108" s="293"/>
      <c r="N108" s="293"/>
      <c r="O108" s="293"/>
      <c r="P108" s="294"/>
      <c r="Q108" s="293"/>
    </row>
    <row r="109" spans="1:17" ht="17.399999999999999" customHeight="1" thickBot="1" x14ac:dyDescent="0.35">
      <c r="A109" s="837" t="s">
        <v>1013</v>
      </c>
      <c r="B109" s="838"/>
      <c r="C109" s="838"/>
      <c r="D109" s="838"/>
      <c r="E109" s="551"/>
      <c r="F109" s="723">
        <v>15393440</v>
      </c>
      <c r="G109" s="781"/>
      <c r="H109" s="836"/>
      <c r="I109" s="766"/>
      <c r="Q109" s="295"/>
    </row>
    <row r="110" spans="1:17" ht="17.399999999999999" customHeight="1" thickTop="1" x14ac:dyDescent="0.3">
      <c r="A110" s="770" t="s">
        <v>1014</v>
      </c>
      <c r="B110" s="652"/>
      <c r="C110" s="652"/>
      <c r="D110" s="652"/>
      <c r="E110" s="608"/>
      <c r="F110" s="782">
        <v>14563298</v>
      </c>
      <c r="G110" s="783"/>
      <c r="H110" s="836"/>
      <c r="I110" s="766"/>
      <c r="L110" s="81"/>
      <c r="M110" s="291"/>
      <c r="N110" s="291"/>
      <c r="O110" s="291"/>
      <c r="P110" s="294"/>
      <c r="Q110" s="293"/>
    </row>
    <row r="111" spans="1:17" ht="17.399999999999999" customHeight="1" x14ac:dyDescent="0.3">
      <c r="A111" s="774" t="s">
        <v>1015</v>
      </c>
      <c r="B111" s="775"/>
      <c r="C111" s="775"/>
      <c r="D111" s="775"/>
      <c r="E111" s="776"/>
      <c r="F111" s="721">
        <f>+F109-F110</f>
        <v>830142</v>
      </c>
      <c r="G111" s="784"/>
      <c r="H111" s="711">
        <f>ROUND((F111*25.168%),0)</f>
        <v>208930</v>
      </c>
      <c r="I111" s="712"/>
      <c r="L111" s="81"/>
      <c r="M111" s="291"/>
      <c r="N111" s="291"/>
      <c r="O111" s="291"/>
      <c r="P111" s="294"/>
      <c r="Q111" s="293"/>
    </row>
    <row r="112" spans="1:17" ht="8.4" customHeight="1" x14ac:dyDescent="0.3">
      <c r="A112" s="296" t="s">
        <v>7</v>
      </c>
      <c r="B112" s="31"/>
      <c r="C112" s="31"/>
      <c r="D112" s="31"/>
      <c r="E112" s="31"/>
      <c r="F112" s="31"/>
      <c r="G112" s="297"/>
      <c r="H112" s="767" t="s">
        <v>7</v>
      </c>
      <c r="I112" s="768"/>
    </row>
    <row r="113" spans="1:17" ht="17.399999999999999" customHeight="1" x14ac:dyDescent="0.3">
      <c r="A113" s="744" t="s">
        <v>1041</v>
      </c>
      <c r="B113" s="591"/>
      <c r="C113" s="591"/>
      <c r="D113" s="591"/>
      <c r="E113" s="591"/>
      <c r="F113" s="591"/>
      <c r="G113" s="745"/>
      <c r="H113" s="698"/>
      <c r="I113" s="549"/>
    </row>
    <row r="114" spans="1:17" ht="17.399999999999999" customHeight="1" x14ac:dyDescent="0.3">
      <c r="A114" s="713" t="s">
        <v>1113</v>
      </c>
      <c r="B114" s="363"/>
      <c r="C114" s="363"/>
      <c r="D114" s="363"/>
      <c r="E114" s="363"/>
      <c r="F114" s="363"/>
      <c r="G114" s="610"/>
      <c r="H114" s="769" t="s">
        <v>7</v>
      </c>
      <c r="I114" s="739"/>
    </row>
    <row r="115" spans="1:17" ht="17.399999999999999" customHeight="1" x14ac:dyDescent="0.3">
      <c r="A115" s="830" t="s">
        <v>0</v>
      </c>
      <c r="B115" s="785"/>
      <c r="C115" s="785"/>
      <c r="D115" s="785"/>
      <c r="E115" s="728"/>
      <c r="F115" s="785" t="s">
        <v>22</v>
      </c>
      <c r="G115" s="728"/>
      <c r="H115" s="468"/>
      <c r="I115" s="469"/>
    </row>
    <row r="116" spans="1:17" ht="17.399999999999999" customHeight="1" x14ac:dyDescent="0.3">
      <c r="A116" s="713" t="s">
        <v>1016</v>
      </c>
      <c r="B116" s="363"/>
      <c r="C116" s="363"/>
      <c r="D116" s="363"/>
      <c r="E116" s="610"/>
      <c r="F116" s="468">
        <v>0</v>
      </c>
      <c r="G116" s="471"/>
      <c r="H116" s="698" t="s">
        <v>7</v>
      </c>
      <c r="I116" s="549"/>
      <c r="M116" s="299"/>
      <c r="N116" s="299"/>
    </row>
    <row r="117" spans="1:17" ht="17.399999999999999" customHeight="1" x14ac:dyDescent="0.3">
      <c r="A117" s="770" t="s">
        <v>1017</v>
      </c>
      <c r="B117" s="652"/>
      <c r="C117" s="652"/>
      <c r="D117" s="652"/>
      <c r="E117" s="608"/>
      <c r="F117" s="771">
        <v>6916435</v>
      </c>
      <c r="G117" s="477"/>
      <c r="H117" s="554"/>
      <c r="I117" s="461"/>
      <c r="M117" s="299"/>
      <c r="N117" s="299"/>
    </row>
    <row r="118" spans="1:17" ht="17.399999999999999" customHeight="1" x14ac:dyDescent="0.3">
      <c r="A118" s="774" t="s">
        <v>1015</v>
      </c>
      <c r="B118" s="775"/>
      <c r="C118" s="775"/>
      <c r="D118" s="775"/>
      <c r="E118" s="776"/>
      <c r="F118" s="772">
        <f>+F116-F117</f>
        <v>-6916435</v>
      </c>
      <c r="G118" s="773"/>
      <c r="H118" s="777">
        <f>ROUND((F118*25.168%),0)</f>
        <v>-1740728</v>
      </c>
      <c r="I118" s="778"/>
      <c r="M118" s="299"/>
      <c r="N118" s="299"/>
    </row>
    <row r="119" spans="1:17" ht="17.399999999999999" customHeight="1" x14ac:dyDescent="0.3">
      <c r="A119" s="743" t="s">
        <v>1022</v>
      </c>
      <c r="B119" s="364"/>
      <c r="C119" s="364"/>
      <c r="D119" s="364"/>
      <c r="E119" s="364"/>
      <c r="F119" s="364"/>
      <c r="G119" s="736"/>
      <c r="H119" s="749">
        <f>SUM(H106:I118)</f>
        <v>-1531798</v>
      </c>
      <c r="I119" s="750"/>
      <c r="N119" s="291"/>
      <c r="O119" s="291"/>
      <c r="P119" s="300"/>
    </row>
    <row r="120" spans="1:17" ht="17.399999999999999" customHeight="1" x14ac:dyDescent="0.3">
      <c r="A120" s="833" t="s">
        <v>957</v>
      </c>
      <c r="B120" s="685"/>
      <c r="C120" s="685"/>
      <c r="D120" s="685"/>
      <c r="E120" s="685"/>
      <c r="F120" s="685"/>
      <c r="G120" s="686"/>
      <c r="H120" s="786">
        <v>225648</v>
      </c>
      <c r="I120" s="624"/>
      <c r="K120" s="291"/>
      <c r="L120" s="291"/>
      <c r="M120" s="291"/>
      <c r="N120" s="291"/>
      <c r="O120" s="291"/>
      <c r="P120" s="291"/>
    </row>
    <row r="121" spans="1:17" ht="17.399999999999999" customHeight="1" thickBot="1" x14ac:dyDescent="0.35">
      <c r="A121" s="846" t="s">
        <v>283</v>
      </c>
      <c r="B121" s="747"/>
      <c r="C121" s="747"/>
      <c r="D121" s="747"/>
      <c r="E121" s="747"/>
      <c r="F121" s="747"/>
      <c r="G121" s="748"/>
      <c r="H121" s="741">
        <f>+H119-H120</f>
        <v>-1757446</v>
      </c>
      <c r="I121" s="742"/>
      <c r="K121" s="291"/>
      <c r="L121" s="291"/>
      <c r="M121" s="291"/>
      <c r="N121" s="291"/>
      <c r="O121" s="291"/>
      <c r="P121" s="291"/>
      <c r="Q121" s="291"/>
    </row>
    <row r="122" spans="1:17" ht="16.2" customHeight="1" x14ac:dyDescent="0.3">
      <c r="A122" s="410"/>
      <c r="B122" s="410"/>
      <c r="C122" s="410"/>
      <c r="D122" s="410"/>
      <c r="E122" s="410"/>
      <c r="F122" s="410"/>
      <c r="G122" s="410"/>
      <c r="H122" s="410"/>
      <c r="I122" s="410"/>
      <c r="L122" s="291"/>
      <c r="M122" s="293"/>
    </row>
    <row r="123" spans="1:17" ht="30" customHeight="1" x14ac:dyDescent="0.3">
      <c r="A123" s="847" t="s">
        <v>1114</v>
      </c>
      <c r="B123" s="847"/>
      <c r="C123" s="847"/>
      <c r="D123" s="847"/>
      <c r="E123" s="847"/>
      <c r="F123" s="847"/>
      <c r="G123" s="847"/>
      <c r="H123" s="847"/>
      <c r="I123" s="847"/>
      <c r="L123" s="291"/>
      <c r="M123" s="293"/>
    </row>
    <row r="124" spans="1:17" ht="18" customHeight="1" thickBot="1" x14ac:dyDescent="0.35">
      <c r="A124" s="352"/>
      <c r="B124" s="352"/>
      <c r="C124" s="352"/>
      <c r="D124" s="352"/>
      <c r="E124" s="352"/>
      <c r="F124" s="352"/>
      <c r="G124" s="352"/>
      <c r="H124" s="679" t="s">
        <v>7</v>
      </c>
      <c r="I124" s="679"/>
      <c r="L124" s="291"/>
      <c r="M124" s="293"/>
    </row>
    <row r="125" spans="1:17" ht="30" customHeight="1" x14ac:dyDescent="0.3">
      <c r="A125" s="73" t="s">
        <v>60</v>
      </c>
      <c r="B125" s="832" t="s">
        <v>0</v>
      </c>
      <c r="C125" s="696"/>
      <c r="D125" s="696"/>
      <c r="E125" s="697"/>
      <c r="F125" s="662" t="s">
        <v>1</v>
      </c>
      <c r="G125" s="664"/>
      <c r="H125" s="567" t="s">
        <v>2</v>
      </c>
      <c r="I125" s="494"/>
      <c r="L125" s="291"/>
      <c r="M125" s="293"/>
    </row>
    <row r="126" spans="1:17" ht="16.8" customHeight="1" x14ac:dyDescent="0.3">
      <c r="A126" s="74" t="s">
        <v>41</v>
      </c>
      <c r="B126" s="859" t="s">
        <v>284</v>
      </c>
      <c r="C126" s="860"/>
      <c r="D126" s="860"/>
      <c r="E126" s="861"/>
      <c r="F126" s="460">
        <v>175607070</v>
      </c>
      <c r="G126" s="492"/>
      <c r="H126" s="554">
        <v>108828970</v>
      </c>
      <c r="I126" s="461"/>
      <c r="L126" s="291"/>
      <c r="M126" s="293"/>
    </row>
    <row r="127" spans="1:17" ht="16.8" customHeight="1" x14ac:dyDescent="0.3">
      <c r="A127" s="74" t="s">
        <v>42</v>
      </c>
      <c r="B127" s="862" t="s">
        <v>285</v>
      </c>
      <c r="C127" s="863"/>
      <c r="D127" s="863"/>
      <c r="E127" s="864"/>
      <c r="F127" s="460"/>
      <c r="G127" s="492"/>
      <c r="H127" s="554"/>
      <c r="I127" s="461"/>
      <c r="L127" s="291"/>
      <c r="M127" s="293"/>
    </row>
    <row r="128" spans="1:17" ht="16.8" customHeight="1" x14ac:dyDescent="0.3">
      <c r="A128" s="74" t="s">
        <v>7</v>
      </c>
      <c r="B128" s="694" t="s">
        <v>286</v>
      </c>
      <c r="C128" s="410"/>
      <c r="D128" s="410"/>
      <c r="E128" s="411"/>
      <c r="F128" s="460">
        <v>6916435</v>
      </c>
      <c r="G128" s="492"/>
      <c r="H128" s="554">
        <v>1059728</v>
      </c>
      <c r="I128" s="461"/>
      <c r="L128" s="291"/>
      <c r="M128" s="293"/>
    </row>
    <row r="129" spans="1:13" ht="16.8" customHeight="1" x14ac:dyDescent="0.3">
      <c r="A129" s="74"/>
      <c r="B129" s="694" t="s">
        <v>287</v>
      </c>
      <c r="C129" s="410"/>
      <c r="D129" s="410"/>
      <c r="E129" s="411"/>
      <c r="F129" s="460">
        <v>2292265</v>
      </c>
      <c r="G129" s="492"/>
      <c r="H129" s="554">
        <v>103838</v>
      </c>
      <c r="I129" s="461"/>
      <c r="L129" s="291"/>
      <c r="M129" s="293"/>
    </row>
    <row r="130" spans="1:13" ht="16.8" customHeight="1" x14ac:dyDescent="0.3">
      <c r="A130" s="74" t="s">
        <v>7</v>
      </c>
      <c r="B130" s="694" t="s">
        <v>289</v>
      </c>
      <c r="C130" s="410"/>
      <c r="D130" s="410"/>
      <c r="E130" s="411"/>
      <c r="F130" s="460">
        <v>1813010</v>
      </c>
      <c r="G130" s="492"/>
      <c r="H130" s="554">
        <v>1079988</v>
      </c>
      <c r="I130" s="461"/>
      <c r="L130" s="291"/>
      <c r="M130" s="293"/>
    </row>
    <row r="131" spans="1:13" ht="16.8" customHeight="1" x14ac:dyDescent="0.3">
      <c r="A131" s="74" t="s">
        <v>7</v>
      </c>
      <c r="B131" s="694" t="s">
        <v>290</v>
      </c>
      <c r="C131" s="410"/>
      <c r="D131" s="410"/>
      <c r="E131" s="411"/>
      <c r="F131" s="460">
        <v>-2149600</v>
      </c>
      <c r="G131" s="492"/>
      <c r="H131" s="554">
        <v>-1267138</v>
      </c>
      <c r="I131" s="461"/>
      <c r="L131" s="291"/>
      <c r="M131" s="293"/>
    </row>
    <row r="132" spans="1:13" ht="16.8" customHeight="1" x14ac:dyDescent="0.3">
      <c r="A132" s="74" t="s">
        <v>43</v>
      </c>
      <c r="B132" s="683" t="s">
        <v>291</v>
      </c>
      <c r="C132" s="413"/>
      <c r="D132" s="413"/>
      <c r="E132" s="414"/>
      <c r="F132" s="460">
        <f>SUM(F128:G131)</f>
        <v>8872110</v>
      </c>
      <c r="G132" s="492"/>
      <c r="H132" s="554">
        <f>SUM(H128:I131)</f>
        <v>976416</v>
      </c>
      <c r="I132" s="461"/>
      <c r="L132" s="291"/>
      <c r="M132" s="293"/>
    </row>
    <row r="133" spans="1:13" ht="16.8" customHeight="1" x14ac:dyDescent="0.3">
      <c r="A133" s="74" t="s">
        <v>47</v>
      </c>
      <c r="B133" s="683" t="s">
        <v>292</v>
      </c>
      <c r="C133" s="413"/>
      <c r="D133" s="413"/>
      <c r="E133" s="414"/>
      <c r="F133" s="666">
        <f>+F126+F132</f>
        <v>184479180</v>
      </c>
      <c r="G133" s="667"/>
      <c r="H133" s="749">
        <f>+H126+H132</f>
        <v>109805386</v>
      </c>
      <c r="I133" s="750"/>
      <c r="L133" s="291"/>
      <c r="M133" s="293"/>
    </row>
    <row r="134" spans="1:13" ht="16.8" customHeight="1" x14ac:dyDescent="0.3">
      <c r="A134" s="74" t="s">
        <v>48</v>
      </c>
      <c r="B134" s="694" t="s">
        <v>293</v>
      </c>
      <c r="C134" s="410"/>
      <c r="D134" s="410"/>
      <c r="E134" s="411"/>
      <c r="F134" s="688">
        <v>0.25168000000000001</v>
      </c>
      <c r="G134" s="689"/>
      <c r="H134" s="848">
        <v>0.25168000000000001</v>
      </c>
      <c r="I134" s="849"/>
      <c r="L134" s="291"/>
      <c r="M134" s="293"/>
    </row>
    <row r="135" spans="1:13" ht="16.8" customHeight="1" x14ac:dyDescent="0.3">
      <c r="A135" s="74" t="s">
        <v>49</v>
      </c>
      <c r="B135" s="683" t="s">
        <v>294</v>
      </c>
      <c r="C135" s="413"/>
      <c r="D135" s="413"/>
      <c r="E135" s="414"/>
      <c r="F135" s="666">
        <f>ROUND((F133*F134),0)</f>
        <v>46429720</v>
      </c>
      <c r="G135" s="667"/>
      <c r="H135" s="749">
        <f>ROUND((H133*H134),0)</f>
        <v>27635820</v>
      </c>
      <c r="I135" s="750"/>
      <c r="L135" s="291"/>
      <c r="M135" s="293"/>
    </row>
    <row r="136" spans="1:13" ht="16.8" customHeight="1" x14ac:dyDescent="0.3">
      <c r="A136" s="74" t="s">
        <v>50</v>
      </c>
      <c r="B136" s="684" t="s">
        <v>295</v>
      </c>
      <c r="C136" s="685"/>
      <c r="D136" s="685"/>
      <c r="E136" s="686"/>
      <c r="F136" s="690">
        <f>+H121</f>
        <v>-1757446</v>
      </c>
      <c r="G136" s="691"/>
      <c r="H136" s="777">
        <v>62995</v>
      </c>
      <c r="I136" s="778"/>
      <c r="L136" s="291"/>
      <c r="M136" s="293"/>
    </row>
    <row r="137" spans="1:13" ht="16.8" customHeight="1" thickBot="1" x14ac:dyDescent="0.35">
      <c r="A137" s="76" t="s">
        <v>330</v>
      </c>
      <c r="B137" s="687" t="s">
        <v>296</v>
      </c>
      <c r="C137" s="419"/>
      <c r="D137" s="419"/>
      <c r="E137" s="420"/>
      <c r="F137" s="692">
        <f>SUM(F135:G136)</f>
        <v>44672274</v>
      </c>
      <c r="G137" s="693"/>
      <c r="H137" s="741">
        <f>SUM(H135:I136)</f>
        <v>27698815</v>
      </c>
      <c r="I137" s="742"/>
      <c r="L137" s="291"/>
      <c r="M137" s="293"/>
    </row>
    <row r="138" spans="1:13" ht="18" customHeight="1" x14ac:dyDescent="0.3">
      <c r="A138" s="281"/>
      <c r="B138" s="281"/>
      <c r="C138" s="281"/>
      <c r="D138" s="281"/>
      <c r="E138" s="281"/>
      <c r="F138" s="281"/>
      <c r="G138" s="281"/>
      <c r="H138" s="281"/>
      <c r="I138" s="281"/>
      <c r="L138" s="291"/>
      <c r="M138" s="293"/>
    </row>
    <row r="139" spans="1:13" ht="18" customHeight="1" x14ac:dyDescent="0.3">
      <c r="A139" s="682" t="s">
        <v>1115</v>
      </c>
      <c r="B139" s="682"/>
      <c r="C139" s="682"/>
      <c r="D139" s="682"/>
      <c r="E139" s="682"/>
      <c r="F139" s="682"/>
      <c r="G139" s="682"/>
      <c r="H139" s="682"/>
      <c r="I139" s="682"/>
    </row>
    <row r="140" spans="1:13" ht="18" customHeight="1" x14ac:dyDescent="0.3">
      <c r="A140" s="413" t="s">
        <v>1116</v>
      </c>
      <c r="B140" s="413"/>
      <c r="C140" s="413"/>
      <c r="D140" s="413"/>
      <c r="E140" s="413"/>
      <c r="F140" s="413"/>
      <c r="G140" s="413"/>
      <c r="H140" s="413"/>
      <c r="I140" s="413"/>
    </row>
    <row r="141" spans="1:13" ht="18" customHeight="1" x14ac:dyDescent="0.3">
      <c r="A141" s="825" t="s">
        <v>1003</v>
      </c>
      <c r="B141" s="825"/>
      <c r="C141" s="825"/>
      <c r="D141" s="825"/>
      <c r="E141" s="825"/>
      <c r="F141" s="825"/>
      <c r="G141" s="825"/>
      <c r="H141" s="825"/>
      <c r="I141" s="825"/>
    </row>
    <row r="142" spans="1:13" ht="18" customHeight="1" thickBot="1" x14ac:dyDescent="0.35">
      <c r="A142" s="284"/>
      <c r="B142" s="284"/>
      <c r="C142" s="284"/>
      <c r="D142" s="284"/>
      <c r="E142" s="284"/>
      <c r="F142" s="284"/>
      <c r="G142" s="284"/>
      <c r="H142" s="680" t="s">
        <v>7</v>
      </c>
      <c r="I142" s="680"/>
    </row>
    <row r="143" spans="1:13" ht="30" customHeight="1" x14ac:dyDescent="0.3">
      <c r="A143" s="695" t="s">
        <v>0</v>
      </c>
      <c r="B143" s="696"/>
      <c r="C143" s="696"/>
      <c r="D143" s="696"/>
      <c r="E143" s="697"/>
      <c r="F143" s="440" t="s">
        <v>280</v>
      </c>
      <c r="G143" s="441"/>
      <c r="H143" s="442" t="s">
        <v>281</v>
      </c>
      <c r="I143" s="443"/>
    </row>
    <row r="144" spans="1:13" ht="29.25" customHeight="1" x14ac:dyDescent="0.3">
      <c r="A144" s="301" t="s">
        <v>1007</v>
      </c>
      <c r="B144" s="826" t="s">
        <v>1012</v>
      </c>
      <c r="C144" s="826"/>
      <c r="D144" s="826"/>
      <c r="E144" s="827"/>
      <c r="F144" s="460" t="s">
        <v>7</v>
      </c>
      <c r="G144" s="492"/>
      <c r="H144" s="554" t="s">
        <v>7</v>
      </c>
      <c r="I144" s="461"/>
    </row>
    <row r="145" spans="1:9" ht="18" customHeight="1" x14ac:dyDescent="0.3">
      <c r="A145" s="74" t="s">
        <v>7</v>
      </c>
      <c r="B145" s="410" t="s">
        <v>1011</v>
      </c>
      <c r="C145" s="410"/>
      <c r="D145" s="410"/>
      <c r="E145" s="411"/>
      <c r="F145" s="460">
        <v>4972840</v>
      </c>
      <c r="G145" s="492"/>
      <c r="H145" s="554">
        <v>0</v>
      </c>
      <c r="I145" s="461"/>
    </row>
    <row r="146" spans="1:9" ht="18" customHeight="1" x14ac:dyDescent="0.3">
      <c r="A146" s="74" t="s">
        <v>1008</v>
      </c>
      <c r="B146" s="410" t="s">
        <v>944</v>
      </c>
      <c r="C146" s="410"/>
      <c r="D146" s="410"/>
      <c r="E146" s="411"/>
      <c r="F146" s="460">
        <v>0</v>
      </c>
      <c r="G146" s="492"/>
      <c r="H146" s="554">
        <v>0</v>
      </c>
      <c r="I146" s="461"/>
    </row>
    <row r="147" spans="1:9" ht="33.75" customHeight="1" thickBot="1" x14ac:dyDescent="0.35">
      <c r="A147" s="76" t="s">
        <v>1009</v>
      </c>
      <c r="B147" s="828" t="s">
        <v>1010</v>
      </c>
      <c r="C147" s="828"/>
      <c r="D147" s="828"/>
      <c r="E147" s="829"/>
      <c r="F147" s="855">
        <v>0</v>
      </c>
      <c r="G147" s="856"/>
      <c r="H147" s="731">
        <v>0</v>
      </c>
      <c r="I147" s="732"/>
    </row>
    <row r="148" spans="1:9" ht="18" customHeight="1" x14ac:dyDescent="0.3">
      <c r="A148" s="825" t="s">
        <v>1034</v>
      </c>
      <c r="B148" s="825"/>
      <c r="C148" s="825"/>
      <c r="D148" s="825"/>
      <c r="E148" s="825"/>
      <c r="F148" s="825"/>
      <c r="G148" s="825"/>
      <c r="H148" s="825"/>
      <c r="I148" s="825"/>
    </row>
    <row r="149" spans="1:9" ht="75" customHeight="1" x14ac:dyDescent="0.3">
      <c r="A149" s="733" t="s">
        <v>1161</v>
      </c>
      <c r="B149" s="733"/>
      <c r="C149" s="733"/>
      <c r="D149" s="733"/>
      <c r="E149" s="733"/>
      <c r="F149" s="733"/>
      <c r="G149" s="733"/>
      <c r="H149" s="733"/>
      <c r="I149" s="733"/>
    </row>
    <row r="150" spans="1:9" ht="33" customHeight="1" x14ac:dyDescent="0.3">
      <c r="A150" s="733" t="s">
        <v>1159</v>
      </c>
      <c r="B150" s="733"/>
      <c r="C150" s="733"/>
      <c r="D150" s="733"/>
      <c r="E150" s="733"/>
      <c r="F150" s="733"/>
      <c r="G150" s="733"/>
      <c r="H150" s="733"/>
      <c r="I150" s="733"/>
    </row>
    <row r="151" spans="1:9" ht="18" customHeight="1" x14ac:dyDescent="0.3">
      <c r="A151" s="283"/>
      <c r="B151" s="283"/>
      <c r="C151" s="283"/>
      <c r="D151" s="283"/>
      <c r="E151" s="283"/>
      <c r="F151" s="283"/>
      <c r="G151" s="283"/>
      <c r="H151" s="283"/>
      <c r="I151" s="283"/>
    </row>
    <row r="152" spans="1:9" ht="18" customHeight="1" thickBot="1" x14ac:dyDescent="0.35">
      <c r="A152" s="419" t="s">
        <v>1117</v>
      </c>
      <c r="B152" s="419"/>
      <c r="C152" s="419"/>
      <c r="D152" s="419"/>
      <c r="E152" s="419"/>
      <c r="F152" s="419"/>
      <c r="G152" s="419"/>
      <c r="H152" s="419"/>
      <c r="I152" s="419"/>
    </row>
    <row r="153" spans="1:9" ht="30.6" customHeight="1" x14ac:dyDescent="0.3">
      <c r="A153" s="695" t="s">
        <v>0</v>
      </c>
      <c r="B153" s="696"/>
      <c r="C153" s="696"/>
      <c r="D153" s="696"/>
      <c r="E153" s="697"/>
      <c r="F153" s="440" t="s">
        <v>280</v>
      </c>
      <c r="G153" s="441"/>
      <c r="H153" s="442" t="s">
        <v>281</v>
      </c>
      <c r="I153" s="443"/>
    </row>
    <row r="154" spans="1:9" ht="32.4" customHeight="1" x14ac:dyDescent="0.3">
      <c r="A154" s="843" t="s">
        <v>837</v>
      </c>
      <c r="B154" s="844"/>
      <c r="C154" s="844"/>
      <c r="D154" s="844"/>
      <c r="E154" s="845"/>
      <c r="F154" s="729">
        <v>0</v>
      </c>
      <c r="G154" s="792"/>
      <c r="H154" s="729">
        <v>0</v>
      </c>
      <c r="I154" s="730"/>
    </row>
    <row r="155" spans="1:9" ht="18" customHeight="1" thickBot="1" x14ac:dyDescent="0.35">
      <c r="A155" s="840" t="s">
        <v>838</v>
      </c>
      <c r="B155" s="841"/>
      <c r="C155" s="841"/>
      <c r="D155" s="841"/>
      <c r="E155" s="842"/>
      <c r="F155" s="855">
        <v>0</v>
      </c>
      <c r="G155" s="856"/>
      <c r="H155" s="855">
        <v>0</v>
      </c>
      <c r="I155" s="732"/>
    </row>
    <row r="156" spans="1:9" ht="12" customHeight="1" x14ac:dyDescent="0.3">
      <c r="A156" s="281"/>
      <c r="B156" s="281"/>
      <c r="C156" s="281"/>
      <c r="D156" s="281"/>
      <c r="E156" s="281"/>
      <c r="F156" s="279"/>
      <c r="G156" s="279"/>
      <c r="H156" s="279"/>
      <c r="I156" s="279"/>
    </row>
    <row r="157" spans="1:9" ht="16.2" customHeight="1" x14ac:dyDescent="0.3">
      <c r="A157" s="850" t="s">
        <v>1118</v>
      </c>
      <c r="B157" s="850"/>
      <c r="C157" s="850"/>
      <c r="D157" s="850"/>
      <c r="E157" s="850"/>
      <c r="F157" s="850"/>
      <c r="G157" s="850"/>
      <c r="H157" s="850"/>
      <c r="I157" s="850"/>
    </row>
    <row r="158" spans="1:9" ht="16.2" customHeight="1" thickBot="1" x14ac:dyDescent="0.35">
      <c r="A158" s="351"/>
      <c r="B158" s="351"/>
      <c r="C158" s="351"/>
      <c r="D158" s="351"/>
      <c r="E158" s="351"/>
      <c r="F158" s="351"/>
      <c r="G158" s="351"/>
      <c r="H158" s="681" t="s">
        <v>7</v>
      </c>
      <c r="I158" s="681"/>
    </row>
    <row r="159" spans="1:9" ht="30" customHeight="1" x14ac:dyDescent="0.3">
      <c r="A159" s="851" t="s">
        <v>274</v>
      </c>
      <c r="B159" s="808"/>
      <c r="C159" s="808"/>
      <c r="D159" s="808"/>
      <c r="E159" s="525"/>
      <c r="F159" s="852" t="s">
        <v>1</v>
      </c>
      <c r="G159" s="853"/>
      <c r="H159" s="852" t="s">
        <v>2</v>
      </c>
      <c r="I159" s="854"/>
    </row>
    <row r="160" spans="1:9" ht="16.8" customHeight="1" x14ac:dyDescent="0.3">
      <c r="A160" s="409" t="s">
        <v>297</v>
      </c>
      <c r="B160" s="410"/>
      <c r="C160" s="410"/>
      <c r="D160" s="410"/>
      <c r="E160" s="411"/>
      <c r="F160" s="729">
        <v>126295478</v>
      </c>
      <c r="G160" s="792"/>
      <c r="H160" s="729">
        <v>71584849</v>
      </c>
      <c r="I160" s="730"/>
    </row>
    <row r="161" spans="1:9" ht="16.8" customHeight="1" x14ac:dyDescent="0.3">
      <c r="A161" s="409" t="s">
        <v>298</v>
      </c>
      <c r="B161" s="410"/>
      <c r="C161" s="410"/>
      <c r="D161" s="410"/>
      <c r="E161" s="411"/>
      <c r="F161" s="534" t="s">
        <v>7</v>
      </c>
      <c r="G161" s="535"/>
      <c r="H161" s="534" t="s">
        <v>7</v>
      </c>
      <c r="I161" s="549"/>
    </row>
    <row r="162" spans="1:9" ht="16.8" customHeight="1" x14ac:dyDescent="0.3">
      <c r="A162" s="409" t="s">
        <v>299</v>
      </c>
      <c r="B162" s="410"/>
      <c r="C162" s="410"/>
      <c r="D162" s="410"/>
      <c r="E162" s="411"/>
      <c r="F162" s="534">
        <v>187224</v>
      </c>
      <c r="G162" s="535"/>
      <c r="H162" s="534">
        <v>166667</v>
      </c>
      <c r="I162" s="549"/>
    </row>
    <row r="163" spans="1:9" ht="16.8" customHeight="1" x14ac:dyDescent="0.3">
      <c r="A163" s="409" t="s">
        <v>300</v>
      </c>
      <c r="B163" s="410"/>
      <c r="C163" s="410"/>
      <c r="D163" s="410"/>
      <c r="E163" s="411"/>
      <c r="F163" s="534">
        <v>187224</v>
      </c>
      <c r="G163" s="535"/>
      <c r="H163" s="534">
        <v>166667</v>
      </c>
      <c r="I163" s="549"/>
    </row>
    <row r="164" spans="1:9" ht="16.8" customHeight="1" x14ac:dyDescent="0.3">
      <c r="A164" s="409" t="s">
        <v>301</v>
      </c>
      <c r="B164" s="410"/>
      <c r="C164" s="410"/>
      <c r="D164" s="410"/>
      <c r="E164" s="411"/>
      <c r="F164" s="534" t="s">
        <v>7</v>
      </c>
      <c r="G164" s="535"/>
      <c r="H164" s="534" t="s">
        <v>7</v>
      </c>
      <c r="I164" s="549"/>
    </row>
    <row r="165" spans="1:9" ht="16.8" customHeight="1" x14ac:dyDescent="0.3">
      <c r="A165" s="409" t="s">
        <v>302</v>
      </c>
      <c r="B165" s="410"/>
      <c r="C165" s="410"/>
      <c r="D165" s="410"/>
      <c r="E165" s="411"/>
      <c r="F165" s="534">
        <f>+F160/F162</f>
        <v>674.56884801093872</v>
      </c>
      <c r="G165" s="535"/>
      <c r="H165" s="534">
        <f>+H160/H162</f>
        <v>429.50823498353003</v>
      </c>
      <c r="I165" s="549"/>
    </row>
    <row r="166" spans="1:9" ht="16.8" customHeight="1" thickBot="1" x14ac:dyDescent="0.35">
      <c r="A166" s="840" t="s">
        <v>303</v>
      </c>
      <c r="B166" s="841"/>
      <c r="C166" s="841"/>
      <c r="D166" s="841"/>
      <c r="E166" s="842"/>
      <c r="F166" s="760">
        <f>+F160/F163</f>
        <v>674.56884801093872</v>
      </c>
      <c r="G166" s="761"/>
      <c r="H166" s="760">
        <f>+H160/H163</f>
        <v>429.50823498353003</v>
      </c>
      <c r="I166" s="762"/>
    </row>
    <row r="167" spans="1:9" ht="18" customHeight="1" x14ac:dyDescent="0.3">
      <c r="A167" s="700"/>
      <c r="B167" s="700"/>
      <c r="C167" s="700"/>
      <c r="D167" s="700"/>
      <c r="E167" s="700"/>
      <c r="F167" s="700"/>
      <c r="G167" s="700"/>
      <c r="H167" s="700"/>
      <c r="I167" s="700"/>
    </row>
    <row r="168" spans="1:9" ht="18" customHeight="1" x14ac:dyDescent="0.3">
      <c r="A168" s="682" t="s">
        <v>1155</v>
      </c>
      <c r="B168" s="682"/>
      <c r="C168" s="682"/>
      <c r="D168" s="682"/>
      <c r="E168" s="682"/>
      <c r="F168" s="682"/>
      <c r="G168" s="682"/>
      <c r="H168" s="682"/>
      <c r="I168" s="682"/>
    </row>
    <row r="169" spans="1:9" ht="18" customHeight="1" thickBot="1" x14ac:dyDescent="0.35">
      <c r="A169" s="282" t="s">
        <v>1119</v>
      </c>
      <c r="B169" s="281"/>
      <c r="C169" s="281"/>
      <c r="D169" s="281"/>
      <c r="E169" s="281"/>
      <c r="F169" s="281"/>
      <c r="G169" s="281"/>
      <c r="H169" s="281"/>
      <c r="I169" s="281"/>
    </row>
    <row r="170" spans="1:9" ht="18" customHeight="1" x14ac:dyDescent="0.3">
      <c r="A170" s="302" t="s">
        <v>60</v>
      </c>
      <c r="B170" s="832" t="s">
        <v>1019</v>
      </c>
      <c r="C170" s="696"/>
      <c r="D170" s="696"/>
      <c r="E170" s="696"/>
      <c r="F170" s="697"/>
      <c r="G170" s="696" t="s">
        <v>1151</v>
      </c>
      <c r="H170" s="696"/>
      <c r="I170" s="699"/>
    </row>
    <row r="171" spans="1:9" ht="18" customHeight="1" x14ac:dyDescent="0.3">
      <c r="A171" s="32">
        <v>1</v>
      </c>
      <c r="B171" s="694" t="s">
        <v>1020</v>
      </c>
      <c r="C171" s="410"/>
      <c r="D171" s="410"/>
      <c r="E171" s="410"/>
      <c r="F171" s="411"/>
      <c r="G171" s="496">
        <v>3505232</v>
      </c>
      <c r="H171" s="839"/>
      <c r="I171" s="523"/>
    </row>
    <row r="172" spans="1:9" ht="18" customHeight="1" x14ac:dyDescent="0.3">
      <c r="A172" s="32">
        <v>2</v>
      </c>
      <c r="B172" s="694" t="s">
        <v>1023</v>
      </c>
      <c r="C172" s="410"/>
      <c r="D172" s="410"/>
      <c r="E172" s="410"/>
      <c r="F172" s="411"/>
      <c r="G172" s="534">
        <v>394086</v>
      </c>
      <c r="H172" s="698"/>
      <c r="I172" s="549"/>
    </row>
    <row r="173" spans="1:9" ht="18" customHeight="1" x14ac:dyDescent="0.3">
      <c r="A173" s="74">
        <v>3</v>
      </c>
      <c r="B173" s="694" t="s">
        <v>1021</v>
      </c>
      <c r="C173" s="410"/>
      <c r="D173" s="410"/>
      <c r="E173" s="410"/>
      <c r="F173" s="411"/>
      <c r="G173" s="460">
        <v>740000</v>
      </c>
      <c r="H173" s="554"/>
      <c r="I173" s="461"/>
    </row>
    <row r="174" spans="1:9" ht="18" customHeight="1" x14ac:dyDescent="0.3">
      <c r="A174" s="74" t="s">
        <v>7</v>
      </c>
      <c r="B174" s="684" t="s">
        <v>7</v>
      </c>
      <c r="C174" s="685"/>
      <c r="D174" s="685"/>
      <c r="E174" s="685"/>
      <c r="F174" s="686"/>
      <c r="G174" s="530" t="s">
        <v>7</v>
      </c>
      <c r="H174" s="564"/>
      <c r="I174" s="531"/>
    </row>
    <row r="175" spans="1:9" ht="18" customHeight="1" thickBot="1" x14ac:dyDescent="0.35">
      <c r="A175" s="76"/>
      <c r="B175" s="746" t="s">
        <v>18</v>
      </c>
      <c r="C175" s="747"/>
      <c r="D175" s="747"/>
      <c r="E175" s="747"/>
      <c r="F175" s="748"/>
      <c r="G175" s="498">
        <f>SUM(G171:I174)</f>
        <v>4639318</v>
      </c>
      <c r="H175" s="857"/>
      <c r="I175" s="499"/>
    </row>
    <row r="176" spans="1:9" ht="18" customHeight="1" x14ac:dyDescent="0.3">
      <c r="A176" s="700"/>
      <c r="B176" s="700"/>
      <c r="C176" s="700"/>
      <c r="D176" s="700"/>
      <c r="E176" s="700"/>
      <c r="F176" s="700"/>
      <c r="G176" s="700"/>
      <c r="H176" s="700"/>
      <c r="I176" s="700"/>
    </row>
    <row r="177" spans="1:12" ht="18" customHeight="1" x14ac:dyDescent="0.3">
      <c r="A177" s="682" t="s">
        <v>1120</v>
      </c>
      <c r="B177" s="682"/>
      <c r="C177" s="682"/>
      <c r="D177" s="682"/>
      <c r="E177" s="682"/>
      <c r="F177" s="682"/>
      <c r="G177" s="682"/>
      <c r="H177" s="682"/>
      <c r="I177" s="682"/>
    </row>
    <row r="178" spans="1:12" ht="42" customHeight="1" x14ac:dyDescent="0.3">
      <c r="A178" s="282"/>
      <c r="B178" s="858" t="s">
        <v>183</v>
      </c>
      <c r="C178" s="858"/>
      <c r="D178" s="858"/>
      <c r="E178" s="858"/>
      <c r="F178" s="858"/>
      <c r="G178" s="858"/>
      <c r="H178" s="858"/>
      <c r="I178" s="858"/>
    </row>
    <row r="179" spans="1:12" ht="12" customHeight="1" x14ac:dyDescent="0.3">
      <c r="A179" s="413"/>
      <c r="B179" s="413"/>
      <c r="C179" s="413"/>
      <c r="D179" s="413"/>
      <c r="E179" s="413"/>
      <c r="F179" s="413"/>
      <c r="G179" s="413"/>
      <c r="H179" s="413"/>
      <c r="I179" s="413"/>
    </row>
    <row r="180" spans="1:12" ht="18" customHeight="1" x14ac:dyDescent="0.3">
      <c r="A180" s="366" t="s">
        <v>1121</v>
      </c>
      <c r="B180" s="366"/>
      <c r="C180" s="366"/>
      <c r="D180" s="366"/>
      <c r="E180" s="366"/>
      <c r="F180" s="366"/>
      <c r="G180" s="366"/>
      <c r="H180" s="366"/>
      <c r="I180" s="366"/>
      <c r="K180" s="34"/>
      <c r="L180" s="34"/>
    </row>
    <row r="181" spans="1:12" ht="18" customHeight="1" x14ac:dyDescent="0.3">
      <c r="A181" s="81" t="s">
        <v>1122</v>
      </c>
      <c r="B181" s="363" t="s">
        <v>1154</v>
      </c>
      <c r="C181" s="363"/>
      <c r="D181" s="363"/>
      <c r="E181" s="363"/>
      <c r="F181" s="363"/>
      <c r="G181" s="363"/>
      <c r="H181" s="363"/>
      <c r="I181" s="363"/>
      <c r="K181" s="34"/>
      <c r="L181" s="293"/>
    </row>
    <row r="182" spans="1:12" ht="18" customHeight="1" x14ac:dyDescent="0.3">
      <c r="A182" s="81" t="s">
        <v>1123</v>
      </c>
      <c r="B182" s="363" t="s">
        <v>1153</v>
      </c>
      <c r="C182" s="363"/>
      <c r="D182" s="363"/>
      <c r="E182" s="363"/>
      <c r="F182" s="363"/>
      <c r="G182" s="363"/>
      <c r="H182" s="363"/>
      <c r="I182" s="363"/>
      <c r="K182" s="34"/>
      <c r="L182" s="293"/>
    </row>
    <row r="183" spans="1:12" ht="18" customHeight="1" x14ac:dyDescent="0.3">
      <c r="A183" s="81"/>
      <c r="B183" s="363" t="s">
        <v>972</v>
      </c>
      <c r="C183" s="363"/>
      <c r="D183" s="363"/>
      <c r="E183" s="363"/>
      <c r="F183" s="363"/>
      <c r="G183" s="363"/>
      <c r="H183" s="363"/>
      <c r="I183" s="363"/>
      <c r="K183" s="34"/>
      <c r="L183" s="293"/>
    </row>
    <row r="184" spans="1:12" ht="18" customHeight="1" x14ac:dyDescent="0.3">
      <c r="A184" s="81"/>
      <c r="B184" s="363" t="s">
        <v>973</v>
      </c>
      <c r="C184" s="363"/>
      <c r="D184" s="363"/>
      <c r="E184" s="363"/>
      <c r="F184" s="363"/>
      <c r="G184" s="363"/>
      <c r="H184" s="363"/>
      <c r="I184" s="363"/>
      <c r="K184" s="34"/>
      <c r="L184" s="293"/>
    </row>
    <row r="185" spans="1:12" ht="18" customHeight="1" x14ac:dyDescent="0.3">
      <c r="A185" s="81"/>
      <c r="B185" s="363" t="s">
        <v>1152</v>
      </c>
      <c r="C185" s="363"/>
      <c r="D185" s="363"/>
      <c r="E185" s="363"/>
      <c r="F185" s="363"/>
      <c r="G185" s="363"/>
      <c r="H185" s="363"/>
      <c r="I185" s="363"/>
      <c r="K185" s="34"/>
      <c r="L185" s="293"/>
    </row>
    <row r="186" spans="1:12" ht="60" customHeight="1" x14ac:dyDescent="0.3">
      <c r="A186" s="78">
        <v>35.299999999999997</v>
      </c>
      <c r="B186" s="734" t="s">
        <v>1160</v>
      </c>
      <c r="C186" s="734"/>
      <c r="D186" s="734"/>
      <c r="E186" s="734"/>
      <c r="F186" s="734"/>
      <c r="G186" s="734"/>
      <c r="H186" s="734"/>
      <c r="I186" s="734"/>
    </row>
    <row r="187" spans="1:12" ht="18" customHeight="1" thickBot="1" x14ac:dyDescent="0.35">
      <c r="A187" s="401" t="s">
        <v>845</v>
      </c>
      <c r="B187" s="401"/>
      <c r="C187" s="401"/>
      <c r="D187" s="401"/>
      <c r="E187" s="401"/>
      <c r="F187" s="401"/>
      <c r="G187" s="401"/>
      <c r="H187" s="401"/>
      <c r="I187" s="401"/>
      <c r="L187" s="293"/>
    </row>
    <row r="188" spans="1:12" ht="30" customHeight="1" x14ac:dyDescent="0.3">
      <c r="A188" s="41" t="s">
        <v>60</v>
      </c>
      <c r="B188" s="524" t="s">
        <v>844</v>
      </c>
      <c r="C188" s="808"/>
      <c r="D188" s="808"/>
      <c r="E188" s="525"/>
      <c r="F188" s="804" t="s">
        <v>1</v>
      </c>
      <c r="G188" s="805"/>
      <c r="H188" s="806" t="s">
        <v>2</v>
      </c>
      <c r="I188" s="807"/>
      <c r="L188" s="293"/>
    </row>
    <row r="189" spans="1:12" ht="18" customHeight="1" x14ac:dyDescent="0.3">
      <c r="A189" s="32">
        <v>1</v>
      </c>
      <c r="B189" s="550" t="s">
        <v>980</v>
      </c>
      <c r="C189" s="838"/>
      <c r="D189" s="838"/>
      <c r="E189" s="551"/>
      <c r="F189" s="496">
        <v>950000</v>
      </c>
      <c r="G189" s="497"/>
      <c r="H189" s="873">
        <v>0</v>
      </c>
      <c r="I189" s="874"/>
    </row>
    <row r="190" spans="1:12" ht="9" customHeight="1" x14ac:dyDescent="0.3">
      <c r="A190" s="32" t="s">
        <v>7</v>
      </c>
      <c r="B190" s="607"/>
      <c r="C190" s="652"/>
      <c r="D190" s="652"/>
      <c r="E190" s="608"/>
      <c r="F190" s="867" t="s">
        <v>7</v>
      </c>
      <c r="G190" s="868"/>
      <c r="H190" s="867" t="s">
        <v>7</v>
      </c>
      <c r="I190" s="875"/>
    </row>
    <row r="191" spans="1:12" ht="18" customHeight="1" thickBot="1" x14ac:dyDescent="0.35">
      <c r="A191" s="36"/>
      <c r="B191" s="480" t="s">
        <v>18</v>
      </c>
      <c r="C191" s="661"/>
      <c r="D191" s="661"/>
      <c r="E191" s="481"/>
      <c r="F191" s="869">
        <f>SUM(F189:G190)</f>
        <v>950000</v>
      </c>
      <c r="G191" s="870"/>
      <c r="H191" s="876">
        <f>SUM(H189:I190)</f>
        <v>0</v>
      </c>
      <c r="I191" s="877"/>
    </row>
    <row r="192" spans="1:12" ht="12" customHeight="1" x14ac:dyDescent="0.3">
      <c r="A192" s="370"/>
      <c r="B192" s="370"/>
      <c r="C192" s="370"/>
      <c r="D192" s="370"/>
      <c r="E192" s="370"/>
      <c r="F192" s="370"/>
      <c r="G192" s="370"/>
      <c r="H192" s="370"/>
      <c r="I192" s="370"/>
    </row>
    <row r="193" spans="1:11" ht="18" customHeight="1" x14ac:dyDescent="0.3">
      <c r="A193" s="366" t="s">
        <v>1125</v>
      </c>
      <c r="B193" s="366"/>
      <c r="C193" s="366"/>
      <c r="D193" s="366"/>
      <c r="E193" s="366"/>
      <c r="F193" s="366"/>
      <c r="G193" s="366"/>
      <c r="H193" s="366"/>
      <c r="I193" s="366"/>
    </row>
    <row r="194" spans="1:11" ht="18" customHeight="1" thickBot="1" x14ac:dyDescent="0.35">
      <c r="A194" s="80"/>
      <c r="B194" s="80"/>
      <c r="C194" s="80"/>
      <c r="D194" s="80"/>
      <c r="E194" s="80"/>
      <c r="F194" s="80"/>
      <c r="G194" s="80"/>
      <c r="H194" s="678" t="s">
        <v>7</v>
      </c>
      <c r="I194" s="678"/>
    </row>
    <row r="195" spans="1:11" ht="30" customHeight="1" x14ac:dyDescent="0.3">
      <c r="A195" s="41" t="s">
        <v>60</v>
      </c>
      <c r="B195" s="504" t="s">
        <v>0</v>
      </c>
      <c r="C195" s="504"/>
      <c r="D195" s="504"/>
      <c r="E195" s="503"/>
      <c r="F195" s="493" t="s">
        <v>280</v>
      </c>
      <c r="G195" s="495"/>
      <c r="H195" s="567" t="s">
        <v>281</v>
      </c>
      <c r="I195" s="494"/>
    </row>
    <row r="196" spans="1:11" ht="18" customHeight="1" x14ac:dyDescent="0.3">
      <c r="A196" s="32">
        <v>1</v>
      </c>
      <c r="B196" s="363" t="s">
        <v>890</v>
      </c>
      <c r="C196" s="363"/>
      <c r="D196" s="363"/>
      <c r="E196" s="610"/>
      <c r="F196" s="470">
        <v>42680536</v>
      </c>
      <c r="G196" s="471"/>
      <c r="H196" s="468">
        <v>66364367</v>
      </c>
      <c r="I196" s="469"/>
    </row>
    <row r="197" spans="1:11" ht="18" customHeight="1" x14ac:dyDescent="0.3">
      <c r="A197" s="32">
        <v>2</v>
      </c>
      <c r="B197" s="363" t="s">
        <v>892</v>
      </c>
      <c r="C197" s="363"/>
      <c r="D197" s="363"/>
      <c r="E197" s="610"/>
      <c r="F197" s="470">
        <v>0</v>
      </c>
      <c r="G197" s="471"/>
      <c r="H197" s="468">
        <v>0</v>
      </c>
      <c r="I197" s="469"/>
    </row>
    <row r="198" spans="1:11" ht="18" customHeight="1" thickBot="1" x14ac:dyDescent="0.35">
      <c r="A198" s="33">
        <v>3</v>
      </c>
      <c r="B198" s="715" t="s">
        <v>891</v>
      </c>
      <c r="C198" s="715"/>
      <c r="D198" s="715"/>
      <c r="E198" s="716"/>
      <c r="F198" s="865">
        <v>0</v>
      </c>
      <c r="G198" s="866"/>
      <c r="H198" s="871">
        <v>0</v>
      </c>
      <c r="I198" s="872"/>
    </row>
    <row r="199" spans="1:11" ht="18" customHeight="1" x14ac:dyDescent="0.3">
      <c r="A199" s="578"/>
      <c r="B199" s="578"/>
      <c r="C199" s="578"/>
      <c r="D199" s="578"/>
      <c r="E199" s="578"/>
      <c r="F199" s="578"/>
      <c r="G199" s="578"/>
      <c r="H199" s="578"/>
      <c r="I199" s="578"/>
    </row>
    <row r="200" spans="1:11" ht="36" customHeight="1" thickBot="1" x14ac:dyDescent="0.35">
      <c r="A200" s="831" t="s">
        <v>1035</v>
      </c>
      <c r="B200" s="831"/>
      <c r="C200" s="831"/>
      <c r="D200" s="831"/>
      <c r="E200" s="831"/>
      <c r="F200" s="831"/>
      <c r="G200" s="831"/>
      <c r="H200" s="831"/>
      <c r="I200" s="831"/>
    </row>
    <row r="201" spans="1:11" ht="30" customHeight="1" x14ac:dyDescent="0.3">
      <c r="A201" s="574" t="s">
        <v>0</v>
      </c>
      <c r="B201" s="654"/>
      <c r="C201" s="654"/>
      <c r="D201" s="654"/>
      <c r="E201" s="575"/>
      <c r="F201" s="704" t="s">
        <v>1</v>
      </c>
      <c r="G201" s="705"/>
      <c r="H201" s="704" t="s">
        <v>2</v>
      </c>
      <c r="I201" s="708"/>
    </row>
    <row r="202" spans="1:11" ht="18" customHeight="1" x14ac:dyDescent="0.3">
      <c r="A202" s="576"/>
      <c r="B202" s="655"/>
      <c r="C202" s="655"/>
      <c r="D202" s="655"/>
      <c r="E202" s="577"/>
      <c r="F202" s="706"/>
      <c r="G202" s="707"/>
      <c r="H202" s="706"/>
      <c r="I202" s="709"/>
    </row>
    <row r="203" spans="1:11" ht="60" customHeight="1" x14ac:dyDescent="0.3">
      <c r="A203" s="822" t="s">
        <v>899</v>
      </c>
      <c r="B203" s="794"/>
      <c r="C203" s="794"/>
      <c r="D203" s="794"/>
      <c r="E203" s="823"/>
      <c r="F203" s="717">
        <v>637935193</v>
      </c>
      <c r="G203" s="718"/>
      <c r="H203" s="723">
        <v>641393964</v>
      </c>
      <c r="I203" s="724"/>
    </row>
    <row r="204" spans="1:11" ht="18" customHeight="1" x14ac:dyDescent="0.3">
      <c r="A204" s="830" t="s">
        <v>900</v>
      </c>
      <c r="B204" s="785"/>
      <c r="C204" s="785"/>
      <c r="D204" s="785"/>
      <c r="E204" s="728"/>
      <c r="F204" s="727">
        <f>SUM(F203)</f>
        <v>637935193</v>
      </c>
      <c r="G204" s="728"/>
      <c r="H204" s="721">
        <f>SUM(H203)</f>
        <v>641393964</v>
      </c>
      <c r="I204" s="722"/>
    </row>
    <row r="205" spans="1:11" ht="18" customHeight="1" x14ac:dyDescent="0.3">
      <c r="A205" s="713" t="s">
        <v>902</v>
      </c>
      <c r="B205" s="363"/>
      <c r="C205" s="363"/>
      <c r="D205" s="363"/>
      <c r="E205" s="610"/>
      <c r="F205" s="717">
        <v>42680536</v>
      </c>
      <c r="G205" s="718"/>
      <c r="H205" s="723">
        <v>66364367</v>
      </c>
      <c r="I205" s="724"/>
    </row>
    <row r="206" spans="1:11" ht="18" customHeight="1" x14ac:dyDescent="0.3">
      <c r="A206" s="713" t="s">
        <v>903</v>
      </c>
      <c r="B206" s="363"/>
      <c r="C206" s="363"/>
      <c r="D206" s="363"/>
      <c r="E206" s="610"/>
      <c r="F206" s="812">
        <f>+F205/F203</f>
        <v>6.6904187867873277E-2</v>
      </c>
      <c r="G206" s="813"/>
      <c r="H206" s="725">
        <f>+H205/H203</f>
        <v>0.10346896092710969</v>
      </c>
      <c r="I206" s="726"/>
      <c r="K206" s="304"/>
    </row>
    <row r="207" spans="1:11" ht="9" customHeight="1" x14ac:dyDescent="0.3">
      <c r="A207" s="713"/>
      <c r="B207" s="363"/>
      <c r="C207" s="363"/>
      <c r="D207" s="363"/>
      <c r="E207" s="610"/>
      <c r="F207" s="814"/>
      <c r="G207" s="718"/>
      <c r="H207" s="740"/>
      <c r="I207" s="724"/>
    </row>
    <row r="208" spans="1:11" ht="18" customHeight="1" x14ac:dyDescent="0.3">
      <c r="A208" s="713" t="s">
        <v>901</v>
      </c>
      <c r="B208" s="363"/>
      <c r="C208" s="363"/>
      <c r="D208" s="363"/>
      <c r="E208" s="610"/>
      <c r="F208" s="717">
        <v>595254657</v>
      </c>
      <c r="G208" s="718"/>
      <c r="H208" s="723">
        <v>575029597</v>
      </c>
      <c r="I208" s="724"/>
    </row>
    <row r="209" spans="1:9" ht="18" customHeight="1" thickBot="1" x14ac:dyDescent="0.35">
      <c r="A209" s="714" t="s">
        <v>903</v>
      </c>
      <c r="B209" s="715"/>
      <c r="C209" s="715"/>
      <c r="D209" s="715"/>
      <c r="E209" s="716"/>
      <c r="F209" s="719">
        <f>+F208/F203</f>
        <v>0.93309581213212667</v>
      </c>
      <c r="G209" s="720"/>
      <c r="H209" s="802">
        <f>+H208/H203</f>
        <v>0.89653103907289033</v>
      </c>
      <c r="I209" s="803"/>
    </row>
    <row r="210" spans="1:9" ht="18" customHeight="1" x14ac:dyDescent="0.3">
      <c r="A210" s="370"/>
      <c r="B210" s="370"/>
      <c r="C210" s="370"/>
      <c r="D210" s="370"/>
      <c r="E210" s="370"/>
      <c r="F210" s="370"/>
      <c r="G210" s="370"/>
      <c r="H210" s="370"/>
      <c r="I210" s="370"/>
    </row>
    <row r="211" spans="1:9" ht="18" customHeight="1" thickBot="1" x14ac:dyDescent="0.35">
      <c r="A211" s="366" t="s">
        <v>1036</v>
      </c>
      <c r="B211" s="366"/>
      <c r="C211" s="366"/>
      <c r="D211" s="366"/>
      <c r="E211" s="366"/>
      <c r="F211" s="366"/>
      <c r="G211" s="366"/>
      <c r="H211" s="366"/>
      <c r="I211" s="366"/>
    </row>
    <row r="212" spans="1:9" ht="30" customHeight="1" x14ac:dyDescent="0.3">
      <c r="A212" s="570" t="s">
        <v>60</v>
      </c>
      <c r="B212" s="455" t="s">
        <v>0</v>
      </c>
      <c r="C212" s="455"/>
      <c r="D212" s="455"/>
      <c r="E212" s="455"/>
      <c r="F212" s="801" t="str">
        <f>+F159</f>
        <v>For the year ended March 31, 2025</v>
      </c>
      <c r="G212" s="801"/>
      <c r="H212" s="801" t="str">
        <f>+H159</f>
        <v>For the year ended March 31, 2024</v>
      </c>
      <c r="I212" s="824"/>
    </row>
    <row r="213" spans="1:9" ht="45" customHeight="1" x14ac:dyDescent="0.3">
      <c r="A213" s="571"/>
      <c r="B213" s="572"/>
      <c r="C213" s="572"/>
      <c r="D213" s="572"/>
      <c r="E213" s="572"/>
      <c r="F213" s="353" t="s">
        <v>893</v>
      </c>
      <c r="G213" s="353" t="s">
        <v>894</v>
      </c>
      <c r="H213" s="353" t="s">
        <v>893</v>
      </c>
      <c r="I213" s="354" t="s">
        <v>894</v>
      </c>
    </row>
    <row r="214" spans="1:9" ht="18" customHeight="1" x14ac:dyDescent="0.3">
      <c r="A214" s="111">
        <v>1</v>
      </c>
      <c r="B214" s="816" t="s">
        <v>895</v>
      </c>
      <c r="C214" s="817"/>
      <c r="D214" s="817"/>
      <c r="E214" s="818"/>
      <c r="F214" s="305" t="s">
        <v>889</v>
      </c>
      <c r="G214" s="305" t="s">
        <v>889</v>
      </c>
      <c r="H214" s="305" t="s">
        <v>889</v>
      </c>
      <c r="I214" s="306" t="s">
        <v>889</v>
      </c>
    </row>
    <row r="215" spans="1:9" ht="30" customHeight="1" x14ac:dyDescent="0.3">
      <c r="A215" s="111">
        <v>2</v>
      </c>
      <c r="B215" s="819" t="s">
        <v>896</v>
      </c>
      <c r="C215" s="820"/>
      <c r="D215" s="820"/>
      <c r="E215" s="821"/>
      <c r="F215" s="305" t="s">
        <v>889</v>
      </c>
      <c r="G215" s="305" t="s">
        <v>889</v>
      </c>
      <c r="H215" s="305" t="s">
        <v>889</v>
      </c>
      <c r="I215" s="306" t="s">
        <v>889</v>
      </c>
    </row>
    <row r="216" spans="1:9" ht="18" customHeight="1" x14ac:dyDescent="0.3">
      <c r="A216" s="111">
        <v>3</v>
      </c>
      <c r="B216" s="816" t="s">
        <v>897</v>
      </c>
      <c r="C216" s="817"/>
      <c r="D216" s="817"/>
      <c r="E216" s="818"/>
      <c r="F216" s="305" t="s">
        <v>889</v>
      </c>
      <c r="G216" s="305" t="s">
        <v>889</v>
      </c>
      <c r="H216" s="305" t="s">
        <v>889</v>
      </c>
      <c r="I216" s="306" t="s">
        <v>889</v>
      </c>
    </row>
    <row r="217" spans="1:9" ht="18" customHeight="1" thickBot="1" x14ac:dyDescent="0.35">
      <c r="A217" s="72">
        <v>4</v>
      </c>
      <c r="B217" s="701" t="s">
        <v>898</v>
      </c>
      <c r="C217" s="702"/>
      <c r="D217" s="702"/>
      <c r="E217" s="703"/>
      <c r="F217" s="138" t="s">
        <v>889</v>
      </c>
      <c r="G217" s="138" t="s">
        <v>889</v>
      </c>
      <c r="H217" s="138" t="s">
        <v>889</v>
      </c>
      <c r="I217" s="307" t="s">
        <v>889</v>
      </c>
    </row>
    <row r="218" spans="1:9" ht="18" customHeight="1" x14ac:dyDescent="0.3">
      <c r="A218" s="364"/>
      <c r="B218" s="364"/>
      <c r="C218" s="364"/>
      <c r="D218" s="364"/>
      <c r="E218" s="364"/>
      <c r="F218" s="364"/>
      <c r="G218" s="364"/>
      <c r="H218" s="364"/>
      <c r="I218" s="364"/>
    </row>
    <row r="219" spans="1:9" ht="18" customHeight="1" x14ac:dyDescent="0.3">
      <c r="A219" s="366" t="s">
        <v>1037</v>
      </c>
      <c r="B219" s="366"/>
      <c r="C219" s="366"/>
      <c r="D219" s="366"/>
      <c r="E219" s="366"/>
      <c r="F219" s="366"/>
      <c r="G219" s="366"/>
      <c r="H219" s="366"/>
      <c r="I219" s="366"/>
    </row>
    <row r="220" spans="1:9" ht="18" customHeight="1" thickBot="1" x14ac:dyDescent="0.35">
      <c r="A220" s="80"/>
      <c r="B220" s="80"/>
      <c r="C220" s="80"/>
      <c r="D220" s="80"/>
      <c r="E220" s="80"/>
      <c r="F220" s="80"/>
      <c r="G220" s="80"/>
      <c r="H220" s="678" t="str">
        <f>+BS!A5</f>
        <v>(Rupees in 000's)</v>
      </c>
      <c r="I220" s="678"/>
    </row>
    <row r="221" spans="1:9" ht="24" customHeight="1" x14ac:dyDescent="0.3">
      <c r="A221" s="710" t="s">
        <v>0</v>
      </c>
      <c r="B221" s="504"/>
      <c r="C221" s="504"/>
      <c r="D221" s="504"/>
      <c r="E221" s="503"/>
      <c r="F221" s="493" t="s">
        <v>280</v>
      </c>
      <c r="G221" s="495"/>
      <c r="H221" s="493" t="s">
        <v>281</v>
      </c>
      <c r="I221" s="494"/>
    </row>
    <row r="222" spans="1:9" ht="30" customHeight="1" x14ac:dyDescent="0.3">
      <c r="A222" s="881" t="s">
        <v>1128</v>
      </c>
      <c r="B222" s="811"/>
      <c r="C222" s="811"/>
      <c r="D222" s="811"/>
      <c r="E222" s="882"/>
      <c r="F222" s="711"/>
      <c r="G222" s="883"/>
      <c r="H222" s="711"/>
      <c r="I222" s="712"/>
    </row>
    <row r="223" spans="1:9" ht="18" customHeight="1" x14ac:dyDescent="0.3">
      <c r="A223" s="881" t="s">
        <v>309</v>
      </c>
      <c r="B223" s="811"/>
      <c r="C223" s="811"/>
      <c r="D223" s="811"/>
      <c r="E223" s="882"/>
      <c r="F223" s="737">
        <v>121985514</v>
      </c>
      <c r="G223" s="738"/>
      <c r="H223" s="737">
        <v>0</v>
      </c>
      <c r="I223" s="739"/>
    </row>
    <row r="224" spans="1:9" ht="18" customHeight="1" x14ac:dyDescent="0.3">
      <c r="A224" s="881" t="s">
        <v>310</v>
      </c>
      <c r="B224" s="811"/>
      <c r="C224" s="811"/>
      <c r="D224" s="811"/>
      <c r="E224" s="882"/>
      <c r="F224" s="890">
        <v>0</v>
      </c>
      <c r="G224" s="891"/>
      <c r="H224" s="890">
        <v>0</v>
      </c>
      <c r="I224" s="892"/>
    </row>
    <row r="225" spans="1:9" ht="18" customHeight="1" thickBot="1" x14ac:dyDescent="0.35">
      <c r="A225" s="893" t="s">
        <v>18</v>
      </c>
      <c r="B225" s="894"/>
      <c r="C225" s="894"/>
      <c r="D225" s="894"/>
      <c r="E225" s="895"/>
      <c r="F225" s="878">
        <f>SUM(F223:G224)</f>
        <v>121985514</v>
      </c>
      <c r="G225" s="879"/>
      <c r="H225" s="878">
        <f>SUM(H223:I224)</f>
        <v>0</v>
      </c>
      <c r="I225" s="880"/>
    </row>
    <row r="226" spans="1:9" ht="60" customHeight="1" thickTop="1" x14ac:dyDescent="0.3">
      <c r="A226" s="881" t="s">
        <v>311</v>
      </c>
      <c r="B226" s="811"/>
      <c r="C226" s="811"/>
      <c r="D226" s="811"/>
      <c r="E226" s="882"/>
      <c r="F226" s="887">
        <v>0</v>
      </c>
      <c r="G226" s="888"/>
      <c r="H226" s="887">
        <v>0</v>
      </c>
      <c r="I226" s="889"/>
    </row>
    <row r="227" spans="1:9" ht="72" customHeight="1" x14ac:dyDescent="0.3">
      <c r="A227" s="881" t="s">
        <v>312</v>
      </c>
      <c r="B227" s="811"/>
      <c r="C227" s="811"/>
      <c r="D227" s="811"/>
      <c r="E227" s="882"/>
      <c r="F227" s="737">
        <v>0</v>
      </c>
      <c r="G227" s="738"/>
      <c r="H227" s="737">
        <v>0</v>
      </c>
      <c r="I227" s="739"/>
    </row>
    <row r="228" spans="1:9" ht="30" customHeight="1" x14ac:dyDescent="0.3">
      <c r="A228" s="881" t="s">
        <v>313</v>
      </c>
      <c r="B228" s="811"/>
      <c r="C228" s="811"/>
      <c r="D228" s="811"/>
      <c r="E228" s="882"/>
      <c r="F228" s="737">
        <v>0</v>
      </c>
      <c r="G228" s="738"/>
      <c r="H228" s="737">
        <v>0</v>
      </c>
      <c r="I228" s="739"/>
    </row>
    <row r="229" spans="1:9" ht="84" customHeight="1" thickBot="1" x14ac:dyDescent="0.35">
      <c r="A229" s="884" t="s">
        <v>314</v>
      </c>
      <c r="B229" s="885"/>
      <c r="C229" s="885"/>
      <c r="D229" s="885"/>
      <c r="E229" s="886"/>
      <c r="F229" s="779">
        <v>0</v>
      </c>
      <c r="G229" s="809"/>
      <c r="H229" s="779">
        <v>0</v>
      </c>
      <c r="I229" s="780"/>
    </row>
    <row r="230" spans="1:9" ht="18" customHeight="1" x14ac:dyDescent="0.3">
      <c r="A230" s="285"/>
      <c r="B230" s="285"/>
      <c r="C230" s="285"/>
      <c r="D230" s="285"/>
      <c r="E230" s="285"/>
      <c r="F230" s="298"/>
      <c r="G230" s="298" t="s">
        <v>7</v>
      </c>
      <c r="H230" s="298"/>
      <c r="I230" s="298"/>
    </row>
    <row r="231" spans="1:9" ht="36" customHeight="1" x14ac:dyDescent="0.3">
      <c r="A231" s="811" t="s">
        <v>888</v>
      </c>
      <c r="B231" s="811"/>
      <c r="C231" s="811"/>
      <c r="D231" s="811"/>
      <c r="E231" s="811"/>
      <c r="F231" s="811"/>
      <c r="G231" s="811"/>
      <c r="H231" s="811"/>
      <c r="I231" s="811"/>
    </row>
    <row r="232" spans="1:9" ht="18.600000000000001" customHeight="1" x14ac:dyDescent="0.3">
      <c r="A232" s="896" t="s">
        <v>1129</v>
      </c>
      <c r="B232" s="896"/>
      <c r="C232" s="896"/>
      <c r="D232" s="896"/>
      <c r="E232" s="896"/>
      <c r="F232" s="896"/>
      <c r="G232" s="896"/>
      <c r="H232" s="896"/>
      <c r="I232" s="896"/>
    </row>
    <row r="233" spans="1:9" ht="36" customHeight="1" x14ac:dyDescent="0.3">
      <c r="A233" s="897" t="s">
        <v>1139</v>
      </c>
      <c r="B233" s="897"/>
      <c r="C233" s="897"/>
      <c r="D233" s="897"/>
      <c r="E233" s="897"/>
      <c r="F233" s="897"/>
      <c r="G233" s="897"/>
      <c r="H233" s="897"/>
      <c r="I233" s="897"/>
    </row>
    <row r="234" spans="1:9" ht="18" customHeight="1" x14ac:dyDescent="0.3">
      <c r="B234" s="1" t="s">
        <v>1156</v>
      </c>
      <c r="C234" s="1"/>
      <c r="D234" s="1"/>
      <c r="E234" s="1"/>
      <c r="F234" s="1"/>
      <c r="G234" s="1"/>
      <c r="H234" s="1"/>
      <c r="I234" s="1"/>
    </row>
    <row r="235" spans="1:9" ht="18" customHeight="1" x14ac:dyDescent="0.3">
      <c r="B235" s="1" t="s">
        <v>1157</v>
      </c>
      <c r="C235" s="1"/>
      <c r="D235" s="1"/>
      <c r="E235" s="1"/>
      <c r="F235" s="1"/>
      <c r="G235" s="1"/>
      <c r="H235" s="1"/>
      <c r="I235" s="1"/>
    </row>
    <row r="236" spans="1:9" ht="90" customHeight="1" x14ac:dyDescent="0.3">
      <c r="A236" s="897" t="s">
        <v>1158</v>
      </c>
      <c r="B236" s="897"/>
      <c r="C236" s="897"/>
      <c r="D236" s="897"/>
      <c r="E236" s="897"/>
      <c r="F236" s="897"/>
      <c r="G236" s="897"/>
      <c r="H236" s="897"/>
      <c r="I236" s="897"/>
    </row>
    <row r="237" spans="1:9" ht="18" customHeight="1" x14ac:dyDescent="0.3">
      <c r="A237" s="364"/>
      <c r="B237" s="364"/>
      <c r="C237" s="364"/>
      <c r="D237" s="364"/>
      <c r="E237" s="364"/>
      <c r="F237" s="364"/>
      <c r="G237" s="364"/>
      <c r="H237" s="364"/>
      <c r="I237" s="364"/>
    </row>
    <row r="238" spans="1:9" ht="18" customHeight="1" x14ac:dyDescent="0.3">
      <c r="A238" s="81">
        <v>41</v>
      </c>
      <c r="B238" s="810" t="s">
        <v>320</v>
      </c>
      <c r="C238" s="810"/>
      <c r="D238" s="810"/>
      <c r="E238" s="810"/>
      <c r="F238" s="810"/>
      <c r="G238" s="810"/>
      <c r="H238" s="810"/>
      <c r="I238" s="810"/>
    </row>
    <row r="239" spans="1:9" ht="35.4" customHeight="1" x14ac:dyDescent="0.3">
      <c r="A239" s="78">
        <v>41.1</v>
      </c>
      <c r="B239" s="811" t="s">
        <v>321</v>
      </c>
      <c r="C239" s="811"/>
      <c r="D239" s="811"/>
      <c r="E239" s="811"/>
      <c r="F239" s="811"/>
      <c r="G239" s="811"/>
      <c r="H239" s="811"/>
      <c r="I239" s="811"/>
    </row>
    <row r="240" spans="1:9" ht="9" customHeight="1" x14ac:dyDescent="0.3">
      <c r="A240" s="78"/>
      <c r="B240" s="363"/>
      <c r="C240" s="363"/>
      <c r="D240" s="363"/>
      <c r="E240" s="363"/>
      <c r="F240" s="363"/>
      <c r="G240" s="363"/>
      <c r="H240" s="363"/>
      <c r="I240" s="363"/>
    </row>
    <row r="241" spans="1:9" ht="45" customHeight="1" x14ac:dyDescent="0.3">
      <c r="A241" s="78">
        <v>41.2</v>
      </c>
      <c r="B241" s="811" t="s">
        <v>322</v>
      </c>
      <c r="C241" s="811"/>
      <c r="D241" s="811"/>
      <c r="E241" s="811"/>
      <c r="F241" s="811"/>
      <c r="G241" s="811"/>
      <c r="H241" s="811"/>
      <c r="I241" s="811"/>
    </row>
    <row r="242" spans="1:9" ht="9" customHeight="1" x14ac:dyDescent="0.3">
      <c r="A242" s="78"/>
      <c r="B242" s="363"/>
      <c r="C242" s="363"/>
      <c r="D242" s="363"/>
      <c r="E242" s="363"/>
      <c r="F242" s="363"/>
      <c r="G242" s="363"/>
      <c r="H242" s="363"/>
      <c r="I242" s="363"/>
    </row>
    <row r="243" spans="1:9" ht="30" customHeight="1" x14ac:dyDescent="0.3">
      <c r="A243" s="78">
        <v>41.3</v>
      </c>
      <c r="B243" s="794" t="s">
        <v>323</v>
      </c>
      <c r="C243" s="794"/>
      <c r="D243" s="794"/>
      <c r="E243" s="794"/>
      <c r="F243" s="794"/>
      <c r="G243" s="794"/>
      <c r="H243" s="794"/>
      <c r="I243" s="794"/>
    </row>
    <row r="244" spans="1:9" ht="9" customHeight="1" x14ac:dyDescent="0.3">
      <c r="A244" s="78"/>
      <c r="B244" s="363"/>
      <c r="C244" s="363"/>
      <c r="D244" s="363"/>
      <c r="E244" s="363"/>
      <c r="F244" s="363"/>
      <c r="G244" s="363"/>
      <c r="H244" s="363"/>
      <c r="I244" s="363"/>
    </row>
    <row r="245" spans="1:9" ht="30" customHeight="1" x14ac:dyDescent="0.3">
      <c r="A245" s="78">
        <v>41.4</v>
      </c>
      <c r="B245" s="811" t="s">
        <v>324</v>
      </c>
      <c r="C245" s="811"/>
      <c r="D245" s="811"/>
      <c r="E245" s="811"/>
      <c r="F245" s="811"/>
      <c r="G245" s="811"/>
      <c r="H245" s="811"/>
      <c r="I245" s="811"/>
    </row>
    <row r="246" spans="1:9" ht="8.4" customHeight="1" x14ac:dyDescent="0.3">
      <c r="A246" s="78"/>
      <c r="B246" s="363"/>
      <c r="C246" s="363"/>
      <c r="D246" s="363"/>
      <c r="E246" s="363"/>
      <c r="F246" s="363"/>
      <c r="G246" s="363"/>
      <c r="H246" s="363"/>
      <c r="I246" s="363"/>
    </row>
    <row r="247" spans="1:9" ht="60" customHeight="1" x14ac:dyDescent="0.3">
      <c r="A247" s="78">
        <v>41.5</v>
      </c>
      <c r="B247" s="811" t="s">
        <v>325</v>
      </c>
      <c r="C247" s="811"/>
      <c r="D247" s="811"/>
      <c r="E247" s="811"/>
      <c r="F247" s="811"/>
      <c r="G247" s="811"/>
      <c r="H247" s="811"/>
      <c r="I247" s="811"/>
    </row>
    <row r="248" spans="1:9" ht="16.2" customHeight="1" x14ac:dyDescent="0.3">
      <c r="A248" s="78"/>
      <c r="B248" s="363"/>
      <c r="C248" s="363"/>
      <c r="D248" s="363"/>
      <c r="E248" s="363"/>
      <c r="F248" s="363"/>
      <c r="G248" s="363"/>
      <c r="H248" s="363"/>
      <c r="I248" s="363"/>
    </row>
    <row r="249" spans="1:9" ht="33" customHeight="1" x14ac:dyDescent="0.3">
      <c r="A249" s="78">
        <v>41.6</v>
      </c>
      <c r="B249" s="811" t="s">
        <v>433</v>
      </c>
      <c r="C249" s="811"/>
      <c r="D249" s="811"/>
      <c r="E249" s="811"/>
      <c r="F249" s="811"/>
      <c r="G249" s="811"/>
      <c r="H249" s="811"/>
      <c r="I249" s="811"/>
    </row>
    <row r="250" spans="1:9" ht="30" customHeight="1" x14ac:dyDescent="0.3">
      <c r="A250" s="78"/>
      <c r="B250" s="308" t="s">
        <v>333</v>
      </c>
      <c r="C250" s="811" t="s">
        <v>395</v>
      </c>
      <c r="D250" s="811"/>
      <c r="E250" s="811"/>
      <c r="F250" s="811"/>
      <c r="G250" s="811"/>
      <c r="H250" s="811"/>
      <c r="I250" s="811"/>
    </row>
    <row r="251" spans="1:9" ht="30" customHeight="1" x14ac:dyDescent="0.3">
      <c r="A251" s="78"/>
      <c r="B251" s="308" t="s">
        <v>332</v>
      </c>
      <c r="C251" s="811" t="s">
        <v>396</v>
      </c>
      <c r="D251" s="811"/>
      <c r="E251" s="811"/>
      <c r="F251" s="811"/>
      <c r="G251" s="811"/>
      <c r="H251" s="811"/>
      <c r="I251" s="811"/>
    </row>
    <row r="252" spans="1:9" ht="9" customHeight="1" x14ac:dyDescent="0.3">
      <c r="A252" s="78"/>
      <c r="B252" s="363"/>
      <c r="C252" s="363"/>
      <c r="D252" s="363"/>
      <c r="E252" s="363"/>
      <c r="F252" s="363"/>
      <c r="G252" s="363"/>
      <c r="H252" s="363"/>
      <c r="I252" s="363"/>
    </row>
    <row r="253" spans="1:9" ht="45" customHeight="1" x14ac:dyDescent="0.3">
      <c r="A253" s="78">
        <v>41.7</v>
      </c>
      <c r="B253" s="811" t="s">
        <v>434</v>
      </c>
      <c r="C253" s="811"/>
      <c r="D253" s="811"/>
      <c r="E253" s="811"/>
      <c r="F253" s="811"/>
      <c r="G253" s="811"/>
      <c r="H253" s="811"/>
      <c r="I253" s="811"/>
    </row>
    <row r="254" spans="1:9" ht="30" customHeight="1" x14ac:dyDescent="0.3">
      <c r="A254" s="78"/>
      <c r="B254" s="308" t="s">
        <v>333</v>
      </c>
      <c r="C254" s="811" t="s">
        <v>397</v>
      </c>
      <c r="D254" s="811"/>
      <c r="E254" s="811"/>
      <c r="F254" s="811"/>
      <c r="G254" s="811"/>
      <c r="H254" s="811"/>
      <c r="I254" s="811"/>
    </row>
    <row r="255" spans="1:9" ht="18" customHeight="1" x14ac:dyDescent="0.3">
      <c r="A255" s="78"/>
      <c r="B255" s="308" t="s">
        <v>332</v>
      </c>
      <c r="C255" s="811" t="s">
        <v>398</v>
      </c>
      <c r="D255" s="811"/>
      <c r="E255" s="811"/>
      <c r="F255" s="811"/>
      <c r="G255" s="811"/>
      <c r="H255" s="811"/>
      <c r="I255" s="811"/>
    </row>
    <row r="256" spans="1:9" ht="9" customHeight="1" x14ac:dyDescent="0.3">
      <c r="A256" s="78"/>
      <c r="B256" s="363"/>
      <c r="C256" s="363"/>
      <c r="D256" s="363"/>
      <c r="E256" s="363"/>
      <c r="F256" s="363"/>
      <c r="G256" s="363"/>
      <c r="H256" s="363"/>
      <c r="I256" s="363"/>
    </row>
    <row r="257" spans="1:11" ht="30" customHeight="1" x14ac:dyDescent="0.3">
      <c r="A257" s="78">
        <v>41.8</v>
      </c>
      <c r="B257" s="794" t="s">
        <v>390</v>
      </c>
      <c r="C257" s="794"/>
      <c r="D257" s="794"/>
      <c r="E257" s="794"/>
      <c r="F257" s="794"/>
      <c r="G257" s="794"/>
      <c r="H257" s="794"/>
      <c r="I257" s="794"/>
    </row>
    <row r="258" spans="1:11" ht="8.4" customHeight="1" x14ac:dyDescent="0.3">
      <c r="A258" s="78"/>
      <c r="B258" s="363"/>
      <c r="C258" s="363"/>
      <c r="D258" s="363"/>
      <c r="E258" s="363"/>
      <c r="F258" s="363"/>
      <c r="G258" s="363"/>
      <c r="H258" s="363"/>
      <c r="I258" s="363"/>
    </row>
    <row r="259" spans="1:11" ht="30" customHeight="1" x14ac:dyDescent="0.3">
      <c r="A259" s="78">
        <v>41.9</v>
      </c>
      <c r="B259" s="794" t="s">
        <v>391</v>
      </c>
      <c r="C259" s="794"/>
      <c r="D259" s="794"/>
      <c r="E259" s="794"/>
      <c r="F259" s="794"/>
      <c r="G259" s="794"/>
      <c r="H259" s="794"/>
      <c r="I259" s="794"/>
    </row>
    <row r="260" spans="1:11" ht="13.95" customHeight="1" x14ac:dyDescent="0.3">
      <c r="A260" s="78"/>
      <c r="B260" s="363"/>
      <c r="C260" s="363"/>
      <c r="D260" s="363"/>
      <c r="E260" s="363"/>
      <c r="F260" s="363"/>
      <c r="G260" s="363"/>
      <c r="H260" s="363"/>
      <c r="I260" s="363"/>
    </row>
    <row r="261" spans="1:11" ht="13.95" customHeight="1" x14ac:dyDescent="0.3">
      <c r="A261" s="78">
        <v>42</v>
      </c>
      <c r="B261" s="80" t="s">
        <v>1124</v>
      </c>
      <c r="C261" s="81"/>
      <c r="D261" s="81"/>
      <c r="E261" s="81"/>
      <c r="F261" s="81"/>
      <c r="G261" s="81"/>
      <c r="H261" s="81"/>
      <c r="I261" s="81"/>
    </row>
    <row r="262" spans="1:11" ht="81.599999999999994" customHeight="1" x14ac:dyDescent="0.3">
      <c r="A262" s="78"/>
      <c r="B262" s="897" t="s">
        <v>1136</v>
      </c>
      <c r="C262" s="897"/>
      <c r="D262" s="897"/>
      <c r="E262" s="897"/>
      <c r="F262" s="897"/>
      <c r="G262" s="897"/>
      <c r="H262" s="897"/>
      <c r="I262" s="897"/>
      <c r="K262" s="290" t="s">
        <v>7</v>
      </c>
    </row>
    <row r="263" spans="1:11" ht="9.6" customHeight="1" x14ac:dyDescent="0.3">
      <c r="A263" s="78"/>
      <c r="B263" s="81"/>
      <c r="C263" s="81"/>
      <c r="D263" s="81"/>
      <c r="E263" s="81"/>
      <c r="F263" s="81"/>
      <c r="G263" s="81"/>
      <c r="H263" s="81"/>
      <c r="I263" s="81"/>
    </row>
    <row r="264" spans="1:11" ht="45.6" customHeight="1" x14ac:dyDescent="0.3">
      <c r="A264" s="78">
        <v>43</v>
      </c>
      <c r="B264" s="794" t="s">
        <v>1038</v>
      </c>
      <c r="C264" s="794"/>
      <c r="D264" s="794"/>
      <c r="E264" s="794"/>
      <c r="F264" s="794"/>
      <c r="G264" s="794"/>
      <c r="H264" s="794"/>
      <c r="I264" s="794"/>
    </row>
    <row r="265" spans="1:11" ht="12" customHeight="1" x14ac:dyDescent="0.3">
      <c r="A265" s="78"/>
      <c r="B265" s="81"/>
      <c r="C265" s="81"/>
      <c r="D265" s="81"/>
      <c r="E265" s="81"/>
      <c r="F265" s="81"/>
      <c r="G265" s="81"/>
      <c r="H265" s="81"/>
      <c r="I265" s="81"/>
    </row>
    <row r="266" spans="1:11" ht="18" customHeight="1" x14ac:dyDescent="0.3">
      <c r="A266" s="78">
        <v>44</v>
      </c>
      <c r="B266" s="591" t="s">
        <v>326</v>
      </c>
      <c r="C266" s="591"/>
      <c r="D266" s="591"/>
      <c r="E266" s="591"/>
      <c r="F266" s="591"/>
      <c r="G266" s="591"/>
      <c r="H266" s="591"/>
      <c r="I266" s="591"/>
    </row>
    <row r="267" spans="1:11" ht="30" customHeight="1" x14ac:dyDescent="0.3">
      <c r="A267" s="78"/>
      <c r="B267" s="811" t="s">
        <v>327</v>
      </c>
      <c r="C267" s="811"/>
      <c r="D267" s="811"/>
      <c r="E267" s="811"/>
      <c r="F267" s="811"/>
      <c r="G267" s="811"/>
      <c r="H267" s="811"/>
      <c r="I267" s="811"/>
    </row>
    <row r="268" spans="1:11" ht="18" customHeight="1" x14ac:dyDescent="0.3">
      <c r="A268" s="78"/>
      <c r="B268" s="363"/>
      <c r="C268" s="363"/>
      <c r="D268" s="363"/>
      <c r="E268" s="363"/>
      <c r="F268" s="363"/>
      <c r="G268" s="363"/>
      <c r="H268" s="363"/>
      <c r="I268" s="363"/>
    </row>
    <row r="269" spans="1:11" ht="18" customHeight="1" x14ac:dyDescent="0.3">
      <c r="A269" s="78"/>
      <c r="B269" s="81"/>
      <c r="C269" s="81"/>
      <c r="D269" s="81"/>
      <c r="E269" s="81"/>
      <c r="F269" s="81"/>
      <c r="G269" s="81"/>
      <c r="H269" s="81"/>
      <c r="I269" s="81"/>
    </row>
    <row r="270" spans="1:11" ht="18" customHeight="1" x14ac:dyDescent="0.3">
      <c r="A270" s="78">
        <v>45</v>
      </c>
      <c r="B270" s="591" t="s">
        <v>328</v>
      </c>
      <c r="C270" s="591"/>
      <c r="D270" s="591"/>
      <c r="E270" s="591"/>
      <c r="F270" s="591"/>
      <c r="G270" s="591"/>
      <c r="H270" s="591"/>
      <c r="I270" s="591"/>
    </row>
    <row r="271" spans="1:11" ht="30" customHeight="1" x14ac:dyDescent="0.3">
      <c r="A271" s="78"/>
      <c r="B271" s="811" t="s">
        <v>329</v>
      </c>
      <c r="C271" s="811"/>
      <c r="D271" s="811"/>
      <c r="E271" s="811"/>
      <c r="F271" s="811"/>
      <c r="G271" s="811"/>
      <c r="H271" s="811"/>
      <c r="I271" s="811"/>
    </row>
    <row r="272" spans="1:11" ht="17.399999999999999" customHeight="1" x14ac:dyDescent="0.3">
      <c r="A272" s="78"/>
      <c r="B272" s="363"/>
      <c r="C272" s="363"/>
      <c r="D272" s="363"/>
      <c r="E272" s="363"/>
      <c r="F272" s="363"/>
      <c r="G272" s="363"/>
      <c r="H272" s="363"/>
      <c r="I272" s="363"/>
    </row>
    <row r="273" spans="1:9" ht="18" customHeight="1" x14ac:dyDescent="0.3">
      <c r="A273" s="303">
        <v>46</v>
      </c>
      <c r="B273" s="794" t="s">
        <v>847</v>
      </c>
      <c r="C273" s="794"/>
      <c r="D273" s="794"/>
      <c r="E273" s="794"/>
      <c r="F273" s="794"/>
      <c r="G273" s="794"/>
      <c r="H273" s="794"/>
      <c r="I273" s="794"/>
    </row>
    <row r="274" spans="1:9" ht="12" customHeight="1" x14ac:dyDescent="0.3">
      <c r="A274" s="363"/>
      <c r="B274" s="363"/>
      <c r="C274" s="363"/>
      <c r="D274" s="363"/>
      <c r="E274" s="363"/>
      <c r="F274" s="363"/>
      <c r="G274" s="363"/>
      <c r="H274" s="363"/>
      <c r="I274" s="363"/>
    </row>
    <row r="275" spans="1:9" ht="30" customHeight="1" x14ac:dyDescent="0.3">
      <c r="A275" s="794" t="s">
        <v>392</v>
      </c>
      <c r="B275" s="794"/>
      <c r="C275" s="794"/>
      <c r="D275" s="794"/>
      <c r="E275" s="794"/>
      <c r="F275" s="794"/>
      <c r="G275" s="794"/>
      <c r="H275" s="794"/>
      <c r="I275" s="794"/>
    </row>
    <row r="276" spans="1:9" ht="18" customHeight="1" x14ac:dyDescent="0.3">
      <c r="A276" s="363"/>
      <c r="B276" s="363"/>
      <c r="C276" s="363"/>
      <c r="D276" s="363"/>
      <c r="E276" s="363"/>
      <c r="F276" s="363"/>
      <c r="G276" s="363"/>
      <c r="H276" s="363"/>
      <c r="I276" s="363"/>
    </row>
    <row r="277" spans="1:9" ht="18" customHeight="1" x14ac:dyDescent="0.3">
      <c r="A277" s="364" t="str">
        <f>+BS!A45</f>
        <v>For S.P.P &amp; Co</v>
      </c>
      <c r="B277" s="364"/>
      <c r="C277" s="364"/>
      <c r="D277" s="364"/>
      <c r="E277" s="81"/>
      <c r="F277" s="364" t="str">
        <f>+BS!C45</f>
        <v>For and On behalf of the Board of Directors of</v>
      </c>
      <c r="G277" s="364"/>
      <c r="H277" s="364"/>
      <c r="I277" s="364"/>
    </row>
    <row r="278" spans="1:9" ht="18" customHeight="1" x14ac:dyDescent="0.3">
      <c r="A278" s="364" t="str">
        <f>+BS!A46</f>
        <v>Chartered Accountants</v>
      </c>
      <c r="B278" s="364"/>
      <c r="C278" s="364"/>
      <c r="D278" s="364"/>
      <c r="E278" s="81"/>
      <c r="F278" s="364" t="str">
        <f>+BS!C46</f>
        <v>PROGEN RENEWABLES LIMITED</v>
      </c>
      <c r="G278" s="364"/>
      <c r="H278" s="364"/>
      <c r="I278" s="364"/>
    </row>
    <row r="279" spans="1:9" ht="18" customHeight="1" x14ac:dyDescent="0.3">
      <c r="A279" s="364" t="str">
        <f>+BS!A47</f>
        <v>Firm Registration Number: 011059S</v>
      </c>
      <c r="B279" s="364"/>
      <c r="C279" s="364"/>
      <c r="D279" s="364"/>
      <c r="E279" s="81"/>
      <c r="F279" s="815"/>
      <c r="G279" s="815"/>
      <c r="H279" s="815"/>
      <c r="I279" s="815"/>
    </row>
    <row r="280" spans="1:9" ht="18" customHeight="1" x14ac:dyDescent="0.3">
      <c r="A280" s="364"/>
      <c r="B280" s="364"/>
      <c r="C280" s="364"/>
      <c r="D280" s="364"/>
      <c r="E280" s="81"/>
      <c r="F280" s="815"/>
      <c r="G280" s="815"/>
      <c r="H280" s="815"/>
      <c r="I280" s="815"/>
    </row>
    <row r="281" spans="1:9" ht="18" customHeight="1" x14ac:dyDescent="0.3">
      <c r="A281" s="364"/>
      <c r="B281" s="364"/>
      <c r="C281" s="364"/>
      <c r="D281" s="364"/>
      <c r="E281" s="81"/>
      <c r="F281" s="815"/>
      <c r="G281" s="815"/>
      <c r="H281" s="815"/>
      <c r="I281" s="815"/>
    </row>
    <row r="282" spans="1:9" ht="18" customHeight="1" x14ac:dyDescent="0.3">
      <c r="A282" s="364" t="str">
        <f>+[2]BS!A53</f>
        <v xml:space="preserve"> </v>
      </c>
      <c r="B282" s="364"/>
      <c r="C282" s="364"/>
      <c r="D282" s="364"/>
      <c r="E282" s="80" t="str">
        <f>+[2]BS!D53</f>
        <v xml:space="preserve"> </v>
      </c>
      <c r="F282" s="765" t="str">
        <f>+[2]BS!E53</f>
        <v xml:space="preserve"> </v>
      </c>
      <c r="G282" s="765"/>
      <c r="H282" s="765"/>
      <c r="I282" s="765"/>
    </row>
    <row r="283" spans="1:9" ht="18" customHeight="1" x14ac:dyDescent="0.3">
      <c r="A283" s="364" t="str">
        <f>+BS!A51</f>
        <v>CA S. Prabhu</v>
      </c>
      <c r="B283" s="364"/>
      <c r="C283" s="364"/>
      <c r="D283" s="364"/>
      <c r="E283" s="81"/>
      <c r="F283" s="364" t="str">
        <f>+BS!C51</f>
        <v>Alfred Vinod Antony</v>
      </c>
      <c r="G283" s="364"/>
      <c r="H283" s="364" t="str">
        <f>+BS!E51</f>
        <v>Veena Jose</v>
      </c>
      <c r="I283" s="364"/>
    </row>
    <row r="284" spans="1:9" ht="18" customHeight="1" x14ac:dyDescent="0.3">
      <c r="A284" s="364" t="str">
        <f>+BS!A52</f>
        <v>Partner</v>
      </c>
      <c r="B284" s="364"/>
      <c r="C284" s="364"/>
      <c r="D284" s="364"/>
      <c r="E284" s="81"/>
      <c r="F284" s="364" t="str">
        <f>+BS!C52</f>
        <v>Managing Director</v>
      </c>
      <c r="G284" s="364"/>
      <c r="H284" s="364" t="str">
        <f>+BS!E52</f>
        <v>Director &amp; CFO</v>
      </c>
      <c r="I284" s="364"/>
    </row>
    <row r="285" spans="1:9" ht="18" customHeight="1" x14ac:dyDescent="0.3">
      <c r="A285" s="364" t="str">
        <f>+BS!A53</f>
        <v>Membership No: 213598</v>
      </c>
      <c r="B285" s="364"/>
      <c r="C285" s="364"/>
      <c r="D285" s="364"/>
      <c r="E285" s="81"/>
      <c r="F285" s="364" t="str">
        <f>+BS!C53</f>
        <v>DIN No: 02776734</v>
      </c>
      <c r="G285" s="364"/>
      <c r="H285" s="364" t="str">
        <f>+BS!E53</f>
        <v>DIN No: 08017313</v>
      </c>
      <c r="I285" s="364"/>
    </row>
    <row r="286" spans="1:9" ht="18" customHeight="1" x14ac:dyDescent="0.3">
      <c r="A286" s="364" t="str">
        <f>+BS!A54</f>
        <v>UDIN:</v>
      </c>
      <c r="B286" s="364"/>
      <c r="C286" s="364"/>
      <c r="D286" s="364"/>
      <c r="E286" s="81"/>
      <c r="F286" s="81"/>
      <c r="G286" s="81"/>
      <c r="H286" s="81"/>
      <c r="I286" s="81"/>
    </row>
    <row r="287" spans="1:9" ht="18" customHeight="1" x14ac:dyDescent="0.3">
      <c r="A287" s="364" t="str">
        <f>+BS!A57</f>
        <v xml:space="preserve"> </v>
      </c>
      <c r="B287" s="364"/>
      <c r="C287" s="364"/>
      <c r="D287" s="364"/>
      <c r="E287" s="81"/>
      <c r="F287" s="81"/>
      <c r="G287" s="81"/>
      <c r="H287" s="81"/>
      <c r="I287" s="81"/>
    </row>
    <row r="288" spans="1:9" ht="18" customHeight="1" x14ac:dyDescent="0.3">
      <c r="A288" s="364" t="s">
        <v>7</v>
      </c>
      <c r="B288" s="364"/>
      <c r="C288" s="364"/>
      <c r="D288" s="364"/>
      <c r="E288" s="81"/>
      <c r="F288" s="81"/>
      <c r="G288" s="81"/>
      <c r="H288" s="81"/>
      <c r="I288" s="81"/>
    </row>
    <row r="289" spans="1:9" ht="18" customHeight="1" x14ac:dyDescent="0.3">
      <c r="E289" s="81"/>
      <c r="F289" s="364" t="str">
        <f>+BS!C58</f>
        <v>Arvind Jain</v>
      </c>
      <c r="G289" s="364"/>
      <c r="H289" s="364" t="str">
        <f>+BS!E58</f>
        <v>Migael Anitha Christina</v>
      </c>
      <c r="I289" s="364"/>
    </row>
    <row r="290" spans="1:9" ht="18" customHeight="1" x14ac:dyDescent="0.3">
      <c r="A290" s="364" t="s">
        <v>51</v>
      </c>
      <c r="B290" s="364"/>
      <c r="C290" s="364"/>
      <c r="F290" s="364" t="str">
        <f>+BS!C59</f>
        <v>Whole-time Director</v>
      </c>
      <c r="G290" s="364"/>
      <c r="H290" s="364" t="str">
        <f>+BS!E59</f>
        <v>Company Secretary</v>
      </c>
      <c r="I290" s="364"/>
    </row>
    <row r="291" spans="1:9" ht="18" customHeight="1" x14ac:dyDescent="0.3">
      <c r="A291" s="364" t="s">
        <v>52</v>
      </c>
      <c r="B291" s="364"/>
      <c r="C291" s="364"/>
      <c r="F291" s="364" t="str">
        <f>+BS!C60</f>
        <v>DIN No: 07218435</v>
      </c>
      <c r="G291" s="364"/>
      <c r="H291" s="364" t="str">
        <f>+BS!E60</f>
        <v>M.No. 30946</v>
      </c>
      <c r="I291" s="364"/>
    </row>
  </sheetData>
  <sheetProtection sheet="1" objects="1" scenarios="1"/>
  <mergeCells count="519">
    <mergeCell ref="A11:I11"/>
    <mergeCell ref="A12:I12"/>
    <mergeCell ref="A13:I13"/>
    <mergeCell ref="A232:I232"/>
    <mergeCell ref="A233:I233"/>
    <mergeCell ref="A236:I236"/>
    <mergeCell ref="B262:I262"/>
    <mergeCell ref="B241:I241"/>
    <mergeCell ref="B240:I240"/>
    <mergeCell ref="B242:I242"/>
    <mergeCell ref="B243:I243"/>
    <mergeCell ref="B245:I245"/>
    <mergeCell ref="A227:E227"/>
    <mergeCell ref="F227:G227"/>
    <mergeCell ref="H227:I227"/>
    <mergeCell ref="A228:E228"/>
    <mergeCell ref="F228:G228"/>
    <mergeCell ref="H228:I228"/>
    <mergeCell ref="A231:I231"/>
    <mergeCell ref="A237:I237"/>
    <mergeCell ref="B247:I247"/>
    <mergeCell ref="B257:I257"/>
    <mergeCell ref="C251:I251"/>
    <mergeCell ref="C254:I254"/>
    <mergeCell ref="F225:G225"/>
    <mergeCell ref="H225:I225"/>
    <mergeCell ref="A226:E226"/>
    <mergeCell ref="F221:G221"/>
    <mergeCell ref="H221:I221"/>
    <mergeCell ref="A222:E222"/>
    <mergeCell ref="F222:G222"/>
    <mergeCell ref="A229:E229"/>
    <mergeCell ref="F226:G226"/>
    <mergeCell ref="H226:I226"/>
    <mergeCell ref="A223:E223"/>
    <mergeCell ref="F223:G223"/>
    <mergeCell ref="H223:I223"/>
    <mergeCell ref="A224:E224"/>
    <mergeCell ref="F224:G224"/>
    <mergeCell ref="H224:I224"/>
    <mergeCell ref="A225:E225"/>
    <mergeCell ref="B185:I185"/>
    <mergeCell ref="B181:I181"/>
    <mergeCell ref="B191:E191"/>
    <mergeCell ref="B189:E189"/>
    <mergeCell ref="B190:E190"/>
    <mergeCell ref="F189:G189"/>
    <mergeCell ref="F190:G190"/>
    <mergeCell ref="F191:G191"/>
    <mergeCell ref="H198:I198"/>
    <mergeCell ref="H196:I196"/>
    <mergeCell ref="B197:E197"/>
    <mergeCell ref="B198:E198"/>
    <mergeCell ref="H189:I189"/>
    <mergeCell ref="H190:I190"/>
    <mergeCell ref="F196:G196"/>
    <mergeCell ref="B183:I183"/>
    <mergeCell ref="B184:I184"/>
    <mergeCell ref="H191:I191"/>
    <mergeCell ref="B195:E195"/>
    <mergeCell ref="F125:G125"/>
    <mergeCell ref="B125:E125"/>
    <mergeCell ref="B126:E126"/>
    <mergeCell ref="B127:E127"/>
    <mergeCell ref="B128:E128"/>
    <mergeCell ref="B129:E129"/>
    <mergeCell ref="B130:E130"/>
    <mergeCell ref="H125:I125"/>
    <mergeCell ref="H126:I126"/>
    <mergeCell ref="F130:G130"/>
    <mergeCell ref="A121:G121"/>
    <mergeCell ref="F126:G126"/>
    <mergeCell ref="F127:G127"/>
    <mergeCell ref="F128:G128"/>
    <mergeCell ref="F129:G129"/>
    <mergeCell ref="A123:I123"/>
    <mergeCell ref="B131:E131"/>
    <mergeCell ref="B196:E196"/>
    <mergeCell ref="H134:I134"/>
    <mergeCell ref="H162:I162"/>
    <mergeCell ref="A163:E163"/>
    <mergeCell ref="F163:G163"/>
    <mergeCell ref="A157:I157"/>
    <mergeCell ref="A159:E159"/>
    <mergeCell ref="F159:G159"/>
    <mergeCell ref="H159:I159"/>
    <mergeCell ref="A155:E155"/>
    <mergeCell ref="A139:I139"/>
    <mergeCell ref="A140:I140"/>
    <mergeCell ref="F145:G145"/>
    <mergeCell ref="H145:I145"/>
    <mergeCell ref="H135:I135"/>
    <mergeCell ref="H136:I136"/>
    <mergeCell ref="H137:I137"/>
    <mergeCell ref="H127:I127"/>
    <mergeCell ref="H128:I128"/>
    <mergeCell ref="H129:I129"/>
    <mergeCell ref="H130:I130"/>
    <mergeCell ref="H131:I131"/>
    <mergeCell ref="H132:I132"/>
    <mergeCell ref="F165:G165"/>
    <mergeCell ref="H165:I165"/>
    <mergeCell ref="A166:E166"/>
    <mergeCell ref="A164:E164"/>
    <mergeCell ref="A154:E154"/>
    <mergeCell ref="F154:G154"/>
    <mergeCell ref="H154:I154"/>
    <mergeCell ref="F147:G147"/>
    <mergeCell ref="F153:G153"/>
    <mergeCell ref="H153:I153"/>
    <mergeCell ref="A149:I149"/>
    <mergeCell ref="F155:G155"/>
    <mergeCell ref="H155:I155"/>
    <mergeCell ref="F166:G166"/>
    <mergeCell ref="H166:I166"/>
    <mergeCell ref="L106:N106"/>
    <mergeCell ref="H106:I106"/>
    <mergeCell ref="H109:I109"/>
    <mergeCell ref="H110:I110"/>
    <mergeCell ref="H72:I72"/>
    <mergeCell ref="F87:G87"/>
    <mergeCell ref="F81:G81"/>
    <mergeCell ref="B79:E79"/>
    <mergeCell ref="B80:E80"/>
    <mergeCell ref="B83:E83"/>
    <mergeCell ref="A94:I94"/>
    <mergeCell ref="B82:E82"/>
    <mergeCell ref="H82:I82"/>
    <mergeCell ref="F82:G82"/>
    <mergeCell ref="H75:I75"/>
    <mergeCell ref="H80:I80"/>
    <mergeCell ref="F79:G79"/>
    <mergeCell ref="F80:G80"/>
    <mergeCell ref="H76:I76"/>
    <mergeCell ref="A109:E109"/>
    <mergeCell ref="A110:E110"/>
    <mergeCell ref="F91:G91"/>
    <mergeCell ref="H91:I91"/>
    <mergeCell ref="F89:G89"/>
    <mergeCell ref="H87:I87"/>
    <mergeCell ref="A203:E203"/>
    <mergeCell ref="H212:I212"/>
    <mergeCell ref="B212:E213"/>
    <mergeCell ref="A141:I141"/>
    <mergeCell ref="B144:E144"/>
    <mergeCell ref="B145:E145"/>
    <mergeCell ref="B146:E146"/>
    <mergeCell ref="B147:E147"/>
    <mergeCell ref="A148:I148"/>
    <mergeCell ref="A115:E115"/>
    <mergeCell ref="F115:G115"/>
    <mergeCell ref="A116:E116"/>
    <mergeCell ref="H111:I111"/>
    <mergeCell ref="A108:E108"/>
    <mergeCell ref="A200:I200"/>
    <mergeCell ref="B93:E93"/>
    <mergeCell ref="F93:G93"/>
    <mergeCell ref="A204:E204"/>
    <mergeCell ref="H144:I144"/>
    <mergeCell ref="B170:F170"/>
    <mergeCell ref="B171:F171"/>
    <mergeCell ref="A120:G120"/>
    <mergeCell ref="H120:I120"/>
    <mergeCell ref="A283:D283"/>
    <mergeCell ref="F283:G283"/>
    <mergeCell ref="F280:I280"/>
    <mergeCell ref="F277:I277"/>
    <mergeCell ref="A278:D278"/>
    <mergeCell ref="F278:I278"/>
    <mergeCell ref="A279:D279"/>
    <mergeCell ref="F279:I279"/>
    <mergeCell ref="A274:I274"/>
    <mergeCell ref="H290:I290"/>
    <mergeCell ref="H291:I291"/>
    <mergeCell ref="F290:G290"/>
    <mergeCell ref="F291:G291"/>
    <mergeCell ref="A290:C290"/>
    <mergeCell ref="A291:C291"/>
    <mergeCell ref="F289:G289"/>
    <mergeCell ref="H289:I289"/>
    <mergeCell ref="B267:I267"/>
    <mergeCell ref="B272:I272"/>
    <mergeCell ref="F282:I282"/>
    <mergeCell ref="A287:D287"/>
    <mergeCell ref="A276:I276"/>
    <mergeCell ref="A288:D288"/>
    <mergeCell ref="H283:I283"/>
    <mergeCell ref="A284:D284"/>
    <mergeCell ref="F284:G284"/>
    <mergeCell ref="H284:I284"/>
    <mergeCell ref="A285:D285"/>
    <mergeCell ref="F285:G285"/>
    <mergeCell ref="H285:I285"/>
    <mergeCell ref="A280:D280"/>
    <mergeCell ref="A281:D281"/>
    <mergeCell ref="A282:D282"/>
    <mergeCell ref="B248:I248"/>
    <mergeCell ref="B270:I270"/>
    <mergeCell ref="F206:G206"/>
    <mergeCell ref="F207:G207"/>
    <mergeCell ref="A193:I193"/>
    <mergeCell ref="F195:G195"/>
    <mergeCell ref="B271:I271"/>
    <mergeCell ref="F281:I281"/>
    <mergeCell ref="B259:I259"/>
    <mergeCell ref="A275:I275"/>
    <mergeCell ref="B268:I268"/>
    <mergeCell ref="B260:I260"/>
    <mergeCell ref="B266:I266"/>
    <mergeCell ref="B256:I256"/>
    <mergeCell ref="B258:I258"/>
    <mergeCell ref="B216:E216"/>
    <mergeCell ref="B214:E214"/>
    <mergeCell ref="B215:E215"/>
    <mergeCell ref="A207:E207"/>
    <mergeCell ref="C255:I255"/>
    <mergeCell ref="A201:E202"/>
    <mergeCell ref="B264:I264"/>
    <mergeCell ref="F203:G203"/>
    <mergeCell ref="H203:I203"/>
    <mergeCell ref="B18:I18"/>
    <mergeCell ref="A8:E8"/>
    <mergeCell ref="A211:I211"/>
    <mergeCell ref="F212:G212"/>
    <mergeCell ref="A212:A213"/>
    <mergeCell ref="H209:I209"/>
    <mergeCell ref="A286:D286"/>
    <mergeCell ref="A180:I180"/>
    <mergeCell ref="A187:I187"/>
    <mergeCell ref="B273:I273"/>
    <mergeCell ref="A277:D277"/>
    <mergeCell ref="F188:G188"/>
    <mergeCell ref="H188:I188"/>
    <mergeCell ref="B188:E188"/>
    <mergeCell ref="F229:G229"/>
    <mergeCell ref="H229:I229"/>
    <mergeCell ref="B238:I238"/>
    <mergeCell ref="B239:I239"/>
    <mergeCell ref="B249:I249"/>
    <mergeCell ref="B253:I253"/>
    <mergeCell ref="C250:I250"/>
    <mergeCell ref="B244:I244"/>
    <mergeCell ref="B246:I246"/>
    <mergeCell ref="B252:I252"/>
    <mergeCell ref="B38:I38"/>
    <mergeCell ref="B39:I39"/>
    <mergeCell ref="A1:I1"/>
    <mergeCell ref="A2:I2"/>
    <mergeCell ref="A3:I3"/>
    <mergeCell ref="A4:I4"/>
    <mergeCell ref="A6:E6"/>
    <mergeCell ref="F6:G6"/>
    <mergeCell ref="H6:I6"/>
    <mergeCell ref="B28:I28"/>
    <mergeCell ref="A7:E7"/>
    <mergeCell ref="F7:G7"/>
    <mergeCell ref="H7:I7"/>
    <mergeCell ref="B17:I17"/>
    <mergeCell ref="A9:E9"/>
    <mergeCell ref="F9:G9"/>
    <mergeCell ref="H9:I9"/>
    <mergeCell ref="A10:I10"/>
    <mergeCell ref="A15:I15"/>
    <mergeCell ref="A16:I16"/>
    <mergeCell ref="B19:I19"/>
    <mergeCell ref="B20:I20"/>
    <mergeCell ref="B21:I21"/>
    <mergeCell ref="A27:I27"/>
    <mergeCell ref="B56:E56"/>
    <mergeCell ref="F56:G56"/>
    <mergeCell ref="F8:G8"/>
    <mergeCell ref="H8:I8"/>
    <mergeCell ref="B45:E45"/>
    <mergeCell ref="F45:G45"/>
    <mergeCell ref="H45:I45"/>
    <mergeCell ref="A41:I41"/>
    <mergeCell ref="B43:E43"/>
    <mergeCell ref="F43:G43"/>
    <mergeCell ref="H43:I43"/>
    <mergeCell ref="B44:E44"/>
    <mergeCell ref="F44:G44"/>
    <mergeCell ref="B24:I24"/>
    <mergeCell ref="B25:I25"/>
    <mergeCell ref="B26:I26"/>
    <mergeCell ref="B33:I33"/>
    <mergeCell ref="B29:I29"/>
    <mergeCell ref="B30:I30"/>
    <mergeCell ref="B31:I31"/>
    <mergeCell ref="A32:I32"/>
    <mergeCell ref="B36:I36"/>
    <mergeCell ref="B34:I34"/>
    <mergeCell ref="B37:I37"/>
    <mergeCell ref="B55:E55"/>
    <mergeCell ref="H55:I55"/>
    <mergeCell ref="F55:G55"/>
    <mergeCell ref="F50:G50"/>
    <mergeCell ref="B52:E52"/>
    <mergeCell ref="B50:E50"/>
    <mergeCell ref="F53:G53"/>
    <mergeCell ref="H51:I51"/>
    <mergeCell ref="H52:I52"/>
    <mergeCell ref="B53:E53"/>
    <mergeCell ref="H53:I53"/>
    <mergeCell ref="B51:E51"/>
    <mergeCell ref="F51:G51"/>
    <mergeCell ref="H54:I54"/>
    <mergeCell ref="B54:E54"/>
    <mergeCell ref="F54:G54"/>
    <mergeCell ref="H86:I86"/>
    <mergeCell ref="F86:G86"/>
    <mergeCell ref="F74:G74"/>
    <mergeCell ref="B85:E85"/>
    <mergeCell ref="F85:G85"/>
    <mergeCell ref="H85:I85"/>
    <mergeCell ref="B76:E76"/>
    <mergeCell ref="H81:I81"/>
    <mergeCell ref="B81:E81"/>
    <mergeCell ref="H74:I74"/>
    <mergeCell ref="H83:I83"/>
    <mergeCell ref="F83:G83"/>
    <mergeCell ref="H79:I79"/>
    <mergeCell ref="B78:E78"/>
    <mergeCell ref="F78:G78"/>
    <mergeCell ref="H78:I78"/>
    <mergeCell ref="B75:E75"/>
    <mergeCell ref="B77:E77"/>
    <mergeCell ref="H77:I77"/>
    <mergeCell ref="F77:G77"/>
    <mergeCell ref="B74:E74"/>
    <mergeCell ref="F58:G58"/>
    <mergeCell ref="H58:I58"/>
    <mergeCell ref="H56:I56"/>
    <mergeCell ref="F71:G71"/>
    <mergeCell ref="F69:G69"/>
    <mergeCell ref="H69:I69"/>
    <mergeCell ref="A62:I62"/>
    <mergeCell ref="B73:E73"/>
    <mergeCell ref="F73:G73"/>
    <mergeCell ref="H73:I73"/>
    <mergeCell ref="B72:E72"/>
    <mergeCell ref="F72:G72"/>
    <mergeCell ref="B71:E71"/>
    <mergeCell ref="H71:I71"/>
    <mergeCell ref="B58:E58"/>
    <mergeCell ref="B60:E60"/>
    <mergeCell ref="F60:G60"/>
    <mergeCell ref="H60:I60"/>
    <mergeCell ref="B59:E59"/>
    <mergeCell ref="F59:G59"/>
    <mergeCell ref="H59:I59"/>
    <mergeCell ref="B57:E57"/>
    <mergeCell ref="F57:G57"/>
    <mergeCell ref="H57:I57"/>
    <mergeCell ref="A122:I122"/>
    <mergeCell ref="F88:G88"/>
    <mergeCell ref="B88:E88"/>
    <mergeCell ref="H113:I113"/>
    <mergeCell ref="H107:I107"/>
    <mergeCell ref="H112:I112"/>
    <mergeCell ref="H114:I114"/>
    <mergeCell ref="H119:I119"/>
    <mergeCell ref="H116:I116"/>
    <mergeCell ref="A117:E117"/>
    <mergeCell ref="F117:G117"/>
    <mergeCell ref="F116:G116"/>
    <mergeCell ref="F118:G118"/>
    <mergeCell ref="A118:E118"/>
    <mergeCell ref="H115:I115"/>
    <mergeCell ref="H117:I117"/>
    <mergeCell ref="H118:I118"/>
    <mergeCell ref="H93:I93"/>
    <mergeCell ref="A111:E111"/>
    <mergeCell ref="F109:G109"/>
    <mergeCell ref="F110:G110"/>
    <mergeCell ref="F111:G111"/>
    <mergeCell ref="F108:G108"/>
    <mergeCell ref="H89:I89"/>
    <mergeCell ref="H108:I108"/>
    <mergeCell ref="B87:E87"/>
    <mergeCell ref="B86:E86"/>
    <mergeCell ref="F70:G70"/>
    <mergeCell ref="H70:I70"/>
    <mergeCell ref="B61:E61"/>
    <mergeCell ref="F61:G61"/>
    <mergeCell ref="H61:I61"/>
    <mergeCell ref="A105:G105"/>
    <mergeCell ref="A103:I103"/>
    <mergeCell ref="H105:I105"/>
    <mergeCell ref="A102:I102"/>
    <mergeCell ref="B90:E90"/>
    <mergeCell ref="B89:E89"/>
    <mergeCell ref="H90:I90"/>
    <mergeCell ref="F90:G90"/>
    <mergeCell ref="F76:G76"/>
    <mergeCell ref="F75:G75"/>
    <mergeCell ref="A67:I67"/>
    <mergeCell ref="B69:E69"/>
    <mergeCell ref="B84:E84"/>
    <mergeCell ref="F84:G84"/>
    <mergeCell ref="H84:I84"/>
    <mergeCell ref="H88:I88"/>
    <mergeCell ref="A40:I40"/>
    <mergeCell ref="H44:I44"/>
    <mergeCell ref="B46:E46"/>
    <mergeCell ref="F46:G46"/>
    <mergeCell ref="H46:I46"/>
    <mergeCell ref="B47:E47"/>
    <mergeCell ref="F52:G52"/>
    <mergeCell ref="F47:G47"/>
    <mergeCell ref="H47:I47"/>
    <mergeCell ref="H50:I50"/>
    <mergeCell ref="B48:E48"/>
    <mergeCell ref="B49:E49"/>
    <mergeCell ref="H49:I49"/>
    <mergeCell ref="F49:G49"/>
    <mergeCell ref="H48:I48"/>
    <mergeCell ref="F48:G48"/>
    <mergeCell ref="A35:I35"/>
    <mergeCell ref="B186:I186"/>
    <mergeCell ref="A218:I218"/>
    <mergeCell ref="A210:I210"/>
    <mergeCell ref="A199:I199"/>
    <mergeCell ref="A192:I192"/>
    <mergeCell ref="B91:E91"/>
    <mergeCell ref="B92:E92"/>
    <mergeCell ref="F92:G92"/>
    <mergeCell ref="H92:I92"/>
    <mergeCell ref="H207:I207"/>
    <mergeCell ref="H208:I208"/>
    <mergeCell ref="H121:I121"/>
    <mergeCell ref="A106:G106"/>
    <mergeCell ref="A107:G107"/>
    <mergeCell ref="A113:G113"/>
    <mergeCell ref="A114:G114"/>
    <mergeCell ref="A119:G119"/>
    <mergeCell ref="A162:E162"/>
    <mergeCell ref="F162:G162"/>
    <mergeCell ref="A177:I177"/>
    <mergeCell ref="B175:F175"/>
    <mergeCell ref="H133:I133"/>
    <mergeCell ref="B70:E70"/>
    <mergeCell ref="F143:G143"/>
    <mergeCell ref="H143:I143"/>
    <mergeCell ref="F144:G144"/>
    <mergeCell ref="H163:I163"/>
    <mergeCell ref="H160:I160"/>
    <mergeCell ref="A161:E161"/>
    <mergeCell ref="F161:G161"/>
    <mergeCell ref="H161:I161"/>
    <mergeCell ref="F146:G146"/>
    <mergeCell ref="H146:I146"/>
    <mergeCell ref="A152:I152"/>
    <mergeCell ref="H147:I147"/>
    <mergeCell ref="A150:I150"/>
    <mergeCell ref="A160:E160"/>
    <mergeCell ref="F160:G160"/>
    <mergeCell ref="A219:I219"/>
    <mergeCell ref="A221:E221"/>
    <mergeCell ref="H222:I222"/>
    <mergeCell ref="A208:E208"/>
    <mergeCell ref="A209:E209"/>
    <mergeCell ref="F205:G205"/>
    <mergeCell ref="F208:G208"/>
    <mergeCell ref="F209:G209"/>
    <mergeCell ref="H204:I204"/>
    <mergeCell ref="H205:I205"/>
    <mergeCell ref="H206:I206"/>
    <mergeCell ref="F204:G204"/>
    <mergeCell ref="A205:E205"/>
    <mergeCell ref="A206:E206"/>
    <mergeCell ref="H220:I220"/>
    <mergeCell ref="G172:I172"/>
    <mergeCell ref="G170:I170"/>
    <mergeCell ref="H164:I164"/>
    <mergeCell ref="A165:E165"/>
    <mergeCell ref="B172:F172"/>
    <mergeCell ref="A167:I167"/>
    <mergeCell ref="B217:E217"/>
    <mergeCell ref="H194:I194"/>
    <mergeCell ref="F201:G202"/>
    <mergeCell ref="H201:I202"/>
    <mergeCell ref="H197:I197"/>
    <mergeCell ref="G171:I171"/>
    <mergeCell ref="G173:I173"/>
    <mergeCell ref="G174:I174"/>
    <mergeCell ref="G175:I175"/>
    <mergeCell ref="A176:I176"/>
    <mergeCell ref="A179:I179"/>
    <mergeCell ref="B182:I182"/>
    <mergeCell ref="B174:F174"/>
    <mergeCell ref="B178:I178"/>
    <mergeCell ref="B173:F173"/>
    <mergeCell ref="H195:I195"/>
    <mergeCell ref="F197:G197"/>
    <mergeCell ref="F198:G198"/>
    <mergeCell ref="H5:I5"/>
    <mergeCell ref="H42:I42"/>
    <mergeCell ref="H68:I68"/>
    <mergeCell ref="H104:I104"/>
    <mergeCell ref="H124:I124"/>
    <mergeCell ref="H142:I142"/>
    <mergeCell ref="H158:I158"/>
    <mergeCell ref="A168:I168"/>
    <mergeCell ref="B135:E135"/>
    <mergeCell ref="B136:E136"/>
    <mergeCell ref="B137:E137"/>
    <mergeCell ref="F131:G131"/>
    <mergeCell ref="F132:G132"/>
    <mergeCell ref="F133:G133"/>
    <mergeCell ref="F134:G134"/>
    <mergeCell ref="F135:G135"/>
    <mergeCell ref="F136:G136"/>
    <mergeCell ref="F137:G137"/>
    <mergeCell ref="B132:E132"/>
    <mergeCell ref="B133:E133"/>
    <mergeCell ref="B134:E134"/>
    <mergeCell ref="A153:E153"/>
    <mergeCell ref="F164:G164"/>
    <mergeCell ref="A143:E143"/>
  </mergeCells>
  <pageMargins left="0.59055118110236227" right="0.59055118110236227" top="1.7716535433070868" bottom="1.1811023622047245" header="0.78740157480314965" footer="0.59055118110236227"/>
  <pageSetup paperSize="9" scale="95" orientation="portrait" r:id="rId1"/>
  <headerFooter>
    <oddHeader>&amp;L&amp;"Arial,Bold"&amp;12M/s. PROGEN RENEWABLES LIMITED
87 A, First Floor, Sathy Road, Muniappan Koil Street, Ganapathy, Coimbatore - 641 006.
Notes forming part of the Financial Statement for the year ended March 31st 2025.</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DEBC8-0A5D-4E6D-B007-7E47B49FE63A}">
  <dimension ref="A1:K38"/>
  <sheetViews>
    <sheetView showGridLines="0" view="pageBreakPreview" zoomScaleNormal="100" zoomScaleSheetLayoutView="100" workbookViewId="0">
      <selection activeCell="G12" sqref="G12"/>
    </sheetView>
  </sheetViews>
  <sheetFormatPr defaultColWidth="8.88671875" defaultRowHeight="18" customHeight="1" x14ac:dyDescent="0.3"/>
  <cols>
    <col min="1" max="1" width="3.88671875" style="31" customWidth="1"/>
    <col min="2" max="2" width="20" style="31" customWidth="1"/>
    <col min="3" max="3" width="17.6640625" style="31" customWidth="1"/>
    <col min="4" max="4" width="19.109375" style="31" customWidth="1"/>
    <col min="5" max="6" width="12" style="116" bestFit="1" customWidth="1"/>
    <col min="7" max="7" width="11.88671875" style="31" bestFit="1" customWidth="1"/>
    <col min="8" max="8" width="22.6640625" style="31" bestFit="1" customWidth="1"/>
    <col min="9" max="16384" width="8.88671875" style="31"/>
  </cols>
  <sheetData>
    <row r="1" spans="1:11" ht="18" customHeight="1" x14ac:dyDescent="0.3">
      <c r="A1" s="365" t="str">
        <f>+BS!A1</f>
        <v>PROGEN RENEWABLES LIMITED</v>
      </c>
      <c r="B1" s="365"/>
      <c r="C1" s="365"/>
      <c r="D1" s="365"/>
      <c r="E1" s="365"/>
      <c r="F1" s="365"/>
      <c r="G1" s="365"/>
      <c r="H1" s="365"/>
    </row>
    <row r="2" spans="1:11" ht="18" customHeight="1" x14ac:dyDescent="0.3">
      <c r="A2" s="365" t="str">
        <f>+BS!A2</f>
        <v>87 A, First Floor, Sathy Road, Muniappan Koil Street, Ganapathy, Coimbatore,Tamil Nadu - 641 006.</v>
      </c>
      <c r="B2" s="365"/>
      <c r="C2" s="365"/>
      <c r="D2" s="365"/>
      <c r="E2" s="365"/>
      <c r="F2" s="365"/>
      <c r="G2" s="365"/>
      <c r="H2" s="365"/>
    </row>
    <row r="3" spans="1:11" ht="18" customHeight="1" x14ac:dyDescent="0.3">
      <c r="A3" s="365" t="str">
        <f>+BS!A3</f>
        <v>CIN : U31909TZ2017PLC029803</v>
      </c>
      <c r="B3" s="365"/>
      <c r="C3" s="365"/>
      <c r="D3" s="365"/>
      <c r="E3" s="365"/>
      <c r="F3" s="365"/>
      <c r="G3" s="365"/>
      <c r="H3" s="365"/>
    </row>
    <row r="4" spans="1:11" ht="12" customHeight="1" x14ac:dyDescent="0.3">
      <c r="A4" s="363"/>
      <c r="B4" s="363"/>
      <c r="C4" s="363"/>
      <c r="D4" s="363"/>
      <c r="E4" s="363"/>
      <c r="F4" s="363"/>
      <c r="G4" s="363"/>
      <c r="H4" s="363"/>
    </row>
    <row r="5" spans="1:11" ht="18" customHeight="1" x14ac:dyDescent="0.3">
      <c r="A5" s="365" t="s">
        <v>198</v>
      </c>
      <c r="B5" s="365"/>
      <c r="C5" s="365"/>
      <c r="D5" s="365"/>
      <c r="E5" s="365"/>
      <c r="F5" s="365"/>
      <c r="G5" s="365"/>
      <c r="H5" s="365"/>
    </row>
    <row r="6" spans="1:11" ht="12" customHeight="1" thickBot="1" x14ac:dyDescent="0.35">
      <c r="A6" s="715"/>
      <c r="B6" s="715"/>
      <c r="C6" s="715"/>
      <c r="D6" s="715"/>
      <c r="E6" s="715"/>
      <c r="F6" s="715"/>
      <c r="G6" s="715"/>
      <c r="H6" s="715"/>
    </row>
    <row r="7" spans="1:11" ht="48" customHeight="1" x14ac:dyDescent="0.3">
      <c r="A7" s="35" t="s">
        <v>60</v>
      </c>
      <c r="B7" s="108" t="s">
        <v>0</v>
      </c>
      <c r="C7" s="108" t="s">
        <v>146</v>
      </c>
      <c r="D7" s="108" t="s">
        <v>147</v>
      </c>
      <c r="E7" s="109" t="s">
        <v>423</v>
      </c>
      <c r="F7" s="109" t="s">
        <v>148</v>
      </c>
      <c r="G7" s="58" t="s">
        <v>199</v>
      </c>
      <c r="H7" s="110" t="s">
        <v>424</v>
      </c>
    </row>
    <row r="8" spans="1:11" ht="30" customHeight="1" x14ac:dyDescent="0.3">
      <c r="A8" s="111">
        <v>1</v>
      </c>
      <c r="B8" s="112" t="s">
        <v>149</v>
      </c>
      <c r="C8" s="112" t="s">
        <v>154</v>
      </c>
      <c r="D8" s="112" t="s">
        <v>155</v>
      </c>
      <c r="E8" s="141">
        <f>+'Ratio Working'!C5/'Ratio Working'!C6</f>
        <v>1.7370520597239913</v>
      </c>
      <c r="F8" s="141">
        <f>+'Ratio Working'!D5/'Ratio Working'!D6</f>
        <v>1.2964026941299915</v>
      </c>
      <c r="G8" s="114">
        <f t="shared" ref="G8:G17" si="0">+K8</f>
        <v>0.3399016120447953</v>
      </c>
      <c r="H8" s="171" t="s">
        <v>974</v>
      </c>
      <c r="J8" s="40">
        <f>+E8-F8</f>
        <v>0.44064936559399981</v>
      </c>
      <c r="K8" s="130">
        <f>+J8/F8</f>
        <v>0.3399016120447953</v>
      </c>
    </row>
    <row r="9" spans="1:11" ht="45" customHeight="1" x14ac:dyDescent="0.3">
      <c r="A9" s="111">
        <v>2</v>
      </c>
      <c r="B9" s="112" t="s">
        <v>150</v>
      </c>
      <c r="C9" s="112" t="s">
        <v>158</v>
      </c>
      <c r="D9" s="112" t="s">
        <v>159</v>
      </c>
      <c r="E9" s="141">
        <f>+'Ratio Working'!C7/'Ratio Working'!C8</f>
        <v>0.13815659200686062</v>
      </c>
      <c r="F9" s="141">
        <f>+'Ratio Working'!D7/'Ratio Working'!D8</f>
        <v>0.33756277686641289</v>
      </c>
      <c r="G9" s="114">
        <f t="shared" si="0"/>
        <v>-0.5907232625310026</v>
      </c>
      <c r="H9" s="171" t="s">
        <v>975</v>
      </c>
      <c r="J9" s="40">
        <f t="shared" ref="J9:J17" si="1">+E9-F9</f>
        <v>-0.19940618485955228</v>
      </c>
      <c r="K9" s="130">
        <f t="shared" ref="K9:K17" si="2">+J9/F9</f>
        <v>-0.5907232625310026</v>
      </c>
    </row>
    <row r="10" spans="1:11" ht="33" customHeight="1" x14ac:dyDescent="0.3">
      <c r="A10" s="111">
        <v>3</v>
      </c>
      <c r="B10" s="112" t="s">
        <v>151</v>
      </c>
      <c r="C10" s="112" t="s">
        <v>160</v>
      </c>
      <c r="D10" s="112" t="s">
        <v>161</v>
      </c>
      <c r="E10" s="141">
        <f>+'Ratio Working'!C9/'Ratio Working'!C10</f>
        <v>33.702019594344343</v>
      </c>
      <c r="F10" s="141">
        <f>+'Ratio Working'!D9/'Ratio Working'!D10</f>
        <v>40.069212243028431</v>
      </c>
      <c r="G10" s="114">
        <f t="shared" si="0"/>
        <v>-0.15890486216863187</v>
      </c>
      <c r="H10" s="170" t="s">
        <v>431</v>
      </c>
      <c r="J10" s="40">
        <f t="shared" si="1"/>
        <v>-6.3671926486840889</v>
      </c>
      <c r="K10" s="130">
        <f t="shared" si="2"/>
        <v>-0.15890486216863187</v>
      </c>
    </row>
    <row r="11" spans="1:11" ht="33" customHeight="1" x14ac:dyDescent="0.3">
      <c r="A11" s="111">
        <v>4</v>
      </c>
      <c r="B11" s="112" t="s">
        <v>152</v>
      </c>
      <c r="C11" s="112" t="s">
        <v>880</v>
      </c>
      <c r="D11" s="112" t="s">
        <v>163</v>
      </c>
      <c r="E11" s="141">
        <f>+'Ratio Working'!C11/'Ratio Working'!C12</f>
        <v>0.44067333430340766</v>
      </c>
      <c r="F11" s="141">
        <f>+'Ratio Working'!D11/'Ratio Working'!D12</f>
        <v>0.91904460089141027</v>
      </c>
      <c r="G11" s="114">
        <f t="shared" si="0"/>
        <v>-0.52050930512405524</v>
      </c>
      <c r="H11" s="171" t="s">
        <v>976</v>
      </c>
      <c r="J11" s="40">
        <f t="shared" si="1"/>
        <v>-0.47837126658800261</v>
      </c>
      <c r="K11" s="130">
        <f t="shared" si="2"/>
        <v>-0.52050930512405524</v>
      </c>
    </row>
    <row r="12" spans="1:11" ht="45" customHeight="1" x14ac:dyDescent="0.3">
      <c r="A12" s="111">
        <v>5</v>
      </c>
      <c r="B12" s="112" t="s">
        <v>368</v>
      </c>
      <c r="C12" s="112" t="s">
        <v>881</v>
      </c>
      <c r="D12" s="112" t="s">
        <v>425</v>
      </c>
      <c r="E12" s="141">
        <f>+'Ratio Working'!C13/'Ratio Working'!C19</f>
        <v>17.34630044797294</v>
      </c>
      <c r="F12" s="141">
        <f>+'Ratio Working'!D13/'Ratio Working'!D19</f>
        <v>5.9686717751581</v>
      </c>
      <c r="G12" s="114">
        <f t="shared" si="0"/>
        <v>1.906224550689666</v>
      </c>
      <c r="H12" s="171" t="s">
        <v>977</v>
      </c>
      <c r="J12" s="40">
        <f t="shared" si="1"/>
        <v>11.37762867281484</v>
      </c>
      <c r="K12" s="130">
        <f t="shared" si="2"/>
        <v>1.906224550689666</v>
      </c>
    </row>
    <row r="13" spans="1:11" ht="60" customHeight="1" x14ac:dyDescent="0.3">
      <c r="A13" s="111">
        <v>6</v>
      </c>
      <c r="B13" s="112" t="s">
        <v>153</v>
      </c>
      <c r="C13" s="112" t="s">
        <v>881</v>
      </c>
      <c r="D13" s="112" t="s">
        <v>157</v>
      </c>
      <c r="E13" s="141">
        <f>+'Ratio Working'!C13/'Ratio Working'!C14</f>
        <v>2.8456870489512522</v>
      </c>
      <c r="F13" s="141">
        <f>+'Ratio Working'!D13/'Ratio Working'!D14</f>
        <v>6.8923138277007565</v>
      </c>
      <c r="G13" s="114">
        <f t="shared" si="0"/>
        <v>-0.58712166623722062</v>
      </c>
      <c r="H13" s="171" t="s">
        <v>887</v>
      </c>
      <c r="J13" s="40">
        <f t="shared" si="1"/>
        <v>-4.0466267787495038</v>
      </c>
      <c r="K13" s="130">
        <f t="shared" si="2"/>
        <v>-0.58712166623722062</v>
      </c>
    </row>
    <row r="14" spans="1:11" ht="33" customHeight="1" x14ac:dyDescent="0.3">
      <c r="A14" s="111">
        <v>7</v>
      </c>
      <c r="B14" s="112" t="s">
        <v>164</v>
      </c>
      <c r="C14" s="112" t="s">
        <v>882</v>
      </c>
      <c r="D14" s="112" t="s">
        <v>169</v>
      </c>
      <c r="E14" s="141">
        <f>+'Ratio Working'!C15/'Ratio Working'!C16</f>
        <v>4.3749963519829613</v>
      </c>
      <c r="F14" s="141">
        <f>+'Ratio Working'!D15/'Ratio Working'!D16</f>
        <v>8.3506816671966462</v>
      </c>
      <c r="G14" s="114">
        <f t="shared" si="0"/>
        <v>-0.47609111131981835</v>
      </c>
      <c r="H14" s="171" t="s">
        <v>885</v>
      </c>
      <c r="J14" s="40">
        <f t="shared" si="1"/>
        <v>-3.9756853152136848</v>
      </c>
      <c r="K14" s="130">
        <f t="shared" si="2"/>
        <v>-0.47609111131981835</v>
      </c>
    </row>
    <row r="15" spans="1:11" ht="36" customHeight="1" x14ac:dyDescent="0.3">
      <c r="A15" s="111">
        <v>8</v>
      </c>
      <c r="B15" s="112" t="s">
        <v>165</v>
      </c>
      <c r="C15" s="112" t="s">
        <v>881</v>
      </c>
      <c r="D15" s="112" t="s">
        <v>883</v>
      </c>
      <c r="E15" s="141">
        <f>+'Ratio Working'!C13/'Ratio Working'!C17</f>
        <v>3.4428471141228725</v>
      </c>
      <c r="F15" s="141">
        <f>+'Ratio Working'!D13/'Ratio Working'!D17</f>
        <v>10.880071739160067</v>
      </c>
      <c r="G15" s="114">
        <f t="shared" si="0"/>
        <v>-0.68356393260430304</v>
      </c>
      <c r="H15" s="171" t="s">
        <v>886</v>
      </c>
      <c r="J15" s="40">
        <f t="shared" si="1"/>
        <v>-7.4372246250371949</v>
      </c>
      <c r="K15" s="130">
        <f t="shared" si="2"/>
        <v>-0.68356393260430304</v>
      </c>
    </row>
    <row r="16" spans="1:11" ht="30" customHeight="1" x14ac:dyDescent="0.3">
      <c r="A16" s="111">
        <v>9</v>
      </c>
      <c r="B16" s="112" t="s">
        <v>166</v>
      </c>
      <c r="C16" s="112" t="s">
        <v>170</v>
      </c>
      <c r="D16" s="112" t="s">
        <v>881</v>
      </c>
      <c r="E16" s="141">
        <f>+'Ratio Working'!C11/'Ratio Working'!C13</f>
        <v>9.374046671059276E-2</v>
      </c>
      <c r="F16" s="141">
        <f>+'Ratio Working'!D11/'Ratio Working'!D13</f>
        <v>6.4107977509665057E-2</v>
      </c>
      <c r="G16" s="114">
        <f t="shared" si="0"/>
        <v>0.46222779678956877</v>
      </c>
      <c r="H16" s="171" t="s">
        <v>978</v>
      </c>
      <c r="J16" s="40">
        <f t="shared" si="1"/>
        <v>2.9632489200927703E-2</v>
      </c>
      <c r="K16" s="130">
        <f t="shared" si="2"/>
        <v>0.46222779678956877</v>
      </c>
    </row>
    <row r="17" spans="1:11" ht="45" customHeight="1" x14ac:dyDescent="0.3">
      <c r="A17" s="111">
        <v>10</v>
      </c>
      <c r="B17" s="112" t="s">
        <v>167</v>
      </c>
      <c r="C17" s="112" t="s">
        <v>171</v>
      </c>
      <c r="D17" s="112" t="s">
        <v>172</v>
      </c>
      <c r="E17" s="141">
        <f>+'Ratio Working'!C21/'Ratio Working'!C23</f>
        <v>0.38013643346922882</v>
      </c>
      <c r="F17" s="141">
        <f>+'Ratio Working'!D21/'Ratio Working'!D23</f>
        <v>0.89804095043716448</v>
      </c>
      <c r="G17" s="114">
        <f t="shared" si="0"/>
        <v>-0.57670478914777867</v>
      </c>
      <c r="H17" s="171" t="s">
        <v>884</v>
      </c>
      <c r="J17" s="40">
        <f t="shared" si="1"/>
        <v>-0.51790451696793571</v>
      </c>
      <c r="K17" s="130">
        <f t="shared" si="2"/>
        <v>-0.57670478914777867</v>
      </c>
    </row>
    <row r="18" spans="1:11" ht="33" customHeight="1" x14ac:dyDescent="0.3">
      <c r="A18" s="111">
        <v>11</v>
      </c>
      <c r="B18" s="112" t="s">
        <v>168</v>
      </c>
      <c r="C18" s="112" t="s">
        <v>173</v>
      </c>
      <c r="D18" s="112" t="s">
        <v>174</v>
      </c>
      <c r="E18" s="113" t="s">
        <v>431</v>
      </c>
      <c r="F18" s="113" t="s">
        <v>431</v>
      </c>
      <c r="G18" s="114" t="s">
        <v>431</v>
      </c>
      <c r="H18" s="170" t="s">
        <v>431</v>
      </c>
    </row>
    <row r="19" spans="1:11" ht="16.95" customHeight="1" x14ac:dyDescent="0.3">
      <c r="E19" s="115"/>
      <c r="F19" s="115"/>
    </row>
    <row r="20" spans="1:11" ht="16.95" customHeight="1" x14ac:dyDescent="0.3">
      <c r="A20" s="106" t="str">
        <f>+[3]Ratio!$A$22</f>
        <v>As Per our Report of even date Attached</v>
      </c>
      <c r="E20" s="115"/>
      <c r="F20" s="115"/>
    </row>
    <row r="21" spans="1:11" ht="16.95" customHeight="1" x14ac:dyDescent="0.3">
      <c r="A21" s="106"/>
      <c r="E21" s="115"/>
      <c r="F21" s="115"/>
    </row>
    <row r="22" spans="1:11" ht="16.95" customHeight="1" x14ac:dyDescent="0.3">
      <c r="A22" s="106" t="str">
        <f>+[3]Ratio!$A$24</f>
        <v>For S.P.P &amp; Co</v>
      </c>
      <c r="E22" s="364" t="str">
        <f>+BS!C45</f>
        <v>For and On behalf of the Board of Directors of</v>
      </c>
      <c r="F22" s="364"/>
      <c r="G22" s="364"/>
      <c r="H22" s="364"/>
    </row>
    <row r="23" spans="1:11" ht="16.95" customHeight="1" x14ac:dyDescent="0.3">
      <c r="A23" s="106" t="str">
        <f>+[3]Ratio!$A$25</f>
        <v>Chartered Accountants</v>
      </c>
      <c r="E23" s="364" t="str">
        <f>+BS!C46</f>
        <v>PROGEN RENEWABLES LIMITED</v>
      </c>
      <c r="F23" s="364"/>
      <c r="G23" s="364"/>
      <c r="H23" s="364"/>
    </row>
    <row r="24" spans="1:11" ht="16.95" customHeight="1" x14ac:dyDescent="0.3">
      <c r="A24" s="106" t="str">
        <f>+[3]Ratio!$A$26</f>
        <v>Firm Registration Number: 011059S</v>
      </c>
      <c r="E24" s="104"/>
      <c r="F24" s="104"/>
      <c r="G24" s="81"/>
      <c r="H24" s="81"/>
    </row>
    <row r="25" spans="1:11" ht="16.95" customHeight="1" x14ac:dyDescent="0.3">
      <c r="A25" s="106"/>
      <c r="E25" s="115"/>
      <c r="F25" s="115"/>
    </row>
    <row r="26" spans="1:11" ht="16.95" customHeight="1" x14ac:dyDescent="0.3">
      <c r="A26" s="106"/>
      <c r="E26" s="115"/>
      <c r="F26" s="115"/>
    </row>
    <row r="27" spans="1:11" ht="16.95" customHeight="1" x14ac:dyDescent="0.3">
      <c r="A27" s="106"/>
      <c r="E27" s="115"/>
      <c r="F27" s="115"/>
    </row>
    <row r="28" spans="1:11" ht="16.95" customHeight="1" x14ac:dyDescent="0.3">
      <c r="A28" s="106" t="str">
        <f>+[3]Ratio!$A$31</f>
        <v>CA S. Prabhu</v>
      </c>
      <c r="E28" s="364" t="str">
        <f>+BS!C51</f>
        <v>Alfred Vinod Antony</v>
      </c>
      <c r="F28" s="364"/>
      <c r="G28" s="364" t="str">
        <f>+BS!E51</f>
        <v>Veena Jose</v>
      </c>
      <c r="H28" s="364"/>
    </row>
    <row r="29" spans="1:11" ht="16.95" customHeight="1" x14ac:dyDescent="0.3">
      <c r="A29" s="106" t="str">
        <f>+[3]Ratio!$A$32</f>
        <v>Partner</v>
      </c>
      <c r="E29" s="364" t="str">
        <f>+BS!C52</f>
        <v>Managing Director</v>
      </c>
      <c r="F29" s="364"/>
      <c r="G29" s="364" t="str">
        <f>+BS!E52</f>
        <v>Director &amp; CFO</v>
      </c>
      <c r="H29" s="364"/>
    </row>
    <row r="30" spans="1:11" ht="16.95" customHeight="1" x14ac:dyDescent="0.3">
      <c r="A30" s="106" t="str">
        <f>+[3]Ratio!$A$33</f>
        <v>Membership No: 213598</v>
      </c>
      <c r="E30" s="364" t="str">
        <f>+BS!C53</f>
        <v>DIN No: 02776734</v>
      </c>
      <c r="F30" s="364"/>
      <c r="G30" s="364" t="str">
        <f>+BS!E53</f>
        <v>DIN No: 08017313</v>
      </c>
      <c r="H30" s="364"/>
    </row>
    <row r="31" spans="1:11" ht="16.95" customHeight="1" x14ac:dyDescent="0.3">
      <c r="A31" s="106" t="str">
        <f>+[3]Ratio!$A$34</f>
        <v>UDIN:</v>
      </c>
      <c r="E31" s="104"/>
      <c r="F31" s="104"/>
      <c r="G31" s="81"/>
      <c r="H31" s="81"/>
    </row>
    <row r="32" spans="1:11" ht="16.95" customHeight="1" x14ac:dyDescent="0.3">
      <c r="A32" s="106"/>
      <c r="E32" s="104"/>
      <c r="F32" s="104"/>
      <c r="G32" s="81"/>
      <c r="H32" s="81"/>
    </row>
    <row r="33" spans="1:8" ht="16.95" customHeight="1" x14ac:dyDescent="0.3">
      <c r="A33" s="106" t="s">
        <v>7</v>
      </c>
      <c r="E33" s="104"/>
      <c r="F33" s="104"/>
      <c r="G33" s="81"/>
      <c r="H33" s="81"/>
    </row>
    <row r="34" spans="1:8" ht="16.95" customHeight="1" x14ac:dyDescent="0.3">
      <c r="A34" s="106" t="s">
        <v>7</v>
      </c>
      <c r="E34" s="104"/>
      <c r="F34" s="104"/>
      <c r="G34" s="81"/>
      <c r="H34" s="81"/>
    </row>
    <row r="35" spans="1:8" ht="16.95" customHeight="1" x14ac:dyDescent="0.3">
      <c r="E35" s="898" t="str">
        <f>+BS!C58</f>
        <v>Arvind Jain</v>
      </c>
      <c r="F35" s="898"/>
      <c r="G35" s="364" t="str">
        <f>+BS!E58</f>
        <v>Migael Anitha Christina</v>
      </c>
      <c r="H35" s="364"/>
    </row>
    <row r="36" spans="1:8" ht="16.95" customHeight="1" x14ac:dyDescent="0.3">
      <c r="A36" s="106" t="s">
        <v>51</v>
      </c>
      <c r="E36" s="898" t="str">
        <f>+BS!C59</f>
        <v>Whole-time Director</v>
      </c>
      <c r="F36" s="898"/>
      <c r="G36" s="364" t="str">
        <f>+BS!E59</f>
        <v>Company Secretary</v>
      </c>
      <c r="H36" s="364"/>
    </row>
    <row r="37" spans="1:8" ht="16.95" customHeight="1" x14ac:dyDescent="0.3">
      <c r="A37" s="106" t="s">
        <v>57</v>
      </c>
      <c r="E37" s="898" t="str">
        <f>+BS!C60</f>
        <v>DIN No: 07218435</v>
      </c>
      <c r="F37" s="898"/>
      <c r="G37" s="364" t="str">
        <f>+BS!E60</f>
        <v>M.No. 30946</v>
      </c>
      <c r="H37" s="364"/>
    </row>
    <row r="38" spans="1:8" ht="16.95" customHeight="1" x14ac:dyDescent="0.3"/>
  </sheetData>
  <sheetProtection sheet="1" objects="1" scenarios="1"/>
  <mergeCells count="20">
    <mergeCell ref="A6:H6"/>
    <mergeCell ref="A1:H1"/>
    <mergeCell ref="A2:H2"/>
    <mergeCell ref="A3:H3"/>
    <mergeCell ref="A4:H4"/>
    <mergeCell ref="A5:H5"/>
    <mergeCell ref="E22:H22"/>
    <mergeCell ref="E23:H23"/>
    <mergeCell ref="E28:F28"/>
    <mergeCell ref="E29:F29"/>
    <mergeCell ref="E30:F30"/>
    <mergeCell ref="G30:H30"/>
    <mergeCell ref="G29:H29"/>
    <mergeCell ref="G28:H28"/>
    <mergeCell ref="E35:F35"/>
    <mergeCell ref="E36:F36"/>
    <mergeCell ref="E37:F37"/>
    <mergeCell ref="G35:H35"/>
    <mergeCell ref="G36:H36"/>
    <mergeCell ref="G37:H37"/>
  </mergeCells>
  <pageMargins left="0.39370078740157483" right="0.19685039370078741" top="0.78740157480314965" bottom="0.78740157480314965" header="0" footer="0"/>
  <pageSetup paperSize="9" scale="80" orientation="portrait" r:id="rId1"/>
  <ignoredErrors>
    <ignoredError sqref="E19:G19" evalError="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5"/>
  <sheetViews>
    <sheetView showGridLines="0" view="pageBreakPreview" zoomScaleNormal="100" zoomScaleSheetLayoutView="100" workbookViewId="0">
      <selection activeCell="D6" sqref="D6"/>
    </sheetView>
  </sheetViews>
  <sheetFormatPr defaultColWidth="8.88671875" defaultRowHeight="18" customHeight="1" x14ac:dyDescent="0.3"/>
  <cols>
    <col min="1" max="1" width="5.44140625" style="1" customWidth="1"/>
    <col min="2" max="2" width="20.33203125" style="1" bestFit="1" customWidth="1"/>
    <col min="3" max="3" width="20.44140625" style="1" customWidth="1"/>
    <col min="4" max="4" width="14.44140625" style="1" bestFit="1" customWidth="1"/>
    <col min="5" max="5" width="14.6640625" style="1" bestFit="1" customWidth="1"/>
    <col min="6" max="6" width="10.33203125" style="1" bestFit="1" customWidth="1"/>
    <col min="7" max="7" width="16.33203125" style="1" customWidth="1"/>
    <col min="8" max="8" width="7.6640625" style="1" customWidth="1"/>
    <col min="9" max="9" width="13.88671875" style="1" bestFit="1" customWidth="1"/>
    <col min="10" max="10" width="17.33203125" style="1" customWidth="1"/>
    <col min="11" max="16384" width="8.88671875" style="1"/>
  </cols>
  <sheetData>
    <row r="1" spans="1:10" ht="18" customHeight="1" x14ac:dyDescent="0.3">
      <c r="A1" s="903" t="str">
        <f>+BS!A1</f>
        <v>PROGEN RENEWABLES LIMITED</v>
      </c>
      <c r="B1" s="903"/>
      <c r="C1" s="903"/>
      <c r="D1" s="903"/>
      <c r="E1" s="903"/>
      <c r="F1" s="903"/>
      <c r="G1" s="903"/>
      <c r="H1" s="903"/>
      <c r="I1" s="903"/>
      <c r="J1" s="903"/>
    </row>
    <row r="2" spans="1:10" ht="18" customHeight="1" thickBot="1" x14ac:dyDescent="0.35">
      <c r="A2" s="904" t="str">
        <f>+BS!A2</f>
        <v>87 A, First Floor, Sathy Road, Muniappan Koil Street, Ganapathy, Coimbatore,Tamil Nadu - 641 006.</v>
      </c>
      <c r="B2" s="904"/>
      <c r="C2" s="904"/>
      <c r="D2" s="904"/>
      <c r="E2" s="904"/>
      <c r="F2" s="904"/>
      <c r="G2" s="904"/>
      <c r="H2" s="904"/>
      <c r="I2" s="904"/>
      <c r="J2" s="904"/>
    </row>
    <row r="3" spans="1:10" ht="18" customHeight="1" x14ac:dyDescent="0.3">
      <c r="A3" s="825" t="s">
        <v>132</v>
      </c>
      <c r="B3" s="825"/>
      <c r="C3" s="825"/>
      <c r="D3" s="825"/>
      <c r="E3" s="825"/>
      <c r="F3" s="825"/>
      <c r="G3" s="825"/>
      <c r="H3" s="825"/>
      <c r="I3" s="825"/>
      <c r="J3" s="825"/>
    </row>
    <row r="4" spans="1:10" ht="18" customHeight="1" thickBot="1" x14ac:dyDescent="0.35"/>
    <row r="5" spans="1:10" ht="16.2" customHeight="1" x14ac:dyDescent="0.3">
      <c r="A5" s="905" t="s">
        <v>60</v>
      </c>
      <c r="B5" s="899" t="s">
        <v>74</v>
      </c>
      <c r="C5" s="899" t="s">
        <v>133</v>
      </c>
      <c r="D5" s="907" t="s">
        <v>134</v>
      </c>
      <c r="E5" s="908"/>
      <c r="F5" s="899" t="s">
        <v>137</v>
      </c>
      <c r="G5" s="899" t="s">
        <v>138</v>
      </c>
      <c r="H5" s="899" t="s">
        <v>139</v>
      </c>
      <c r="I5" s="899" t="s">
        <v>140</v>
      </c>
      <c r="J5" s="901" t="s">
        <v>141</v>
      </c>
    </row>
    <row r="6" spans="1:10" ht="37.200000000000003" customHeight="1" thickBot="1" x14ac:dyDescent="0.35">
      <c r="A6" s="906"/>
      <c r="B6" s="900"/>
      <c r="C6" s="900"/>
      <c r="D6" s="28" t="s">
        <v>135</v>
      </c>
      <c r="E6" s="28" t="s">
        <v>136</v>
      </c>
      <c r="F6" s="900"/>
      <c r="G6" s="900"/>
      <c r="H6" s="900"/>
      <c r="I6" s="900"/>
      <c r="J6" s="902"/>
    </row>
    <row r="7" spans="1:10" ht="18" customHeight="1" thickTop="1" x14ac:dyDescent="0.3">
      <c r="A7" s="4"/>
      <c r="B7" s="25"/>
      <c r="C7" s="3"/>
      <c r="D7" s="3"/>
      <c r="E7" s="3"/>
      <c r="F7" s="3"/>
      <c r="G7" s="3"/>
      <c r="H7" s="3"/>
      <c r="I7" s="3"/>
      <c r="J7" s="2"/>
    </row>
    <row r="8" spans="1:10" ht="18" customHeight="1" x14ac:dyDescent="0.3">
      <c r="A8" s="4">
        <v>1</v>
      </c>
      <c r="B8" s="25" t="s">
        <v>427</v>
      </c>
      <c r="C8" s="8">
        <v>430592</v>
      </c>
      <c r="D8" s="8">
        <v>378699</v>
      </c>
      <c r="E8" s="8">
        <v>332550</v>
      </c>
      <c r="F8" s="8">
        <v>0</v>
      </c>
      <c r="G8" s="8">
        <f>+C8+D8+E8-F8</f>
        <v>1141841</v>
      </c>
      <c r="H8" s="26">
        <v>0.4</v>
      </c>
      <c r="I8" s="8">
        <f>ROUND((D8*H8*0.5)+(E8*H8)+(C8*H8),0)</f>
        <v>380997</v>
      </c>
      <c r="J8" s="9">
        <f>+G8-I8</f>
        <v>760844</v>
      </c>
    </row>
    <row r="9" spans="1:10" ht="18" customHeight="1" x14ac:dyDescent="0.3">
      <c r="A9" s="4">
        <v>2</v>
      </c>
      <c r="B9" s="25" t="s">
        <v>143</v>
      </c>
      <c r="C9" s="8">
        <v>6272855</v>
      </c>
      <c r="D9" s="8">
        <v>2987265</v>
      </c>
      <c r="E9" s="8">
        <v>2451758</v>
      </c>
      <c r="F9" s="8">
        <v>0</v>
      </c>
      <c r="G9" s="8">
        <f t="shared" ref="G9:G10" si="0">+C9+D9+E9-F9</f>
        <v>11711878</v>
      </c>
      <c r="H9" s="26">
        <v>0.15</v>
      </c>
      <c r="I9" s="8">
        <f t="shared" ref="I9:I10" si="1">ROUND((D9*H9*0.5)+(E9*H9)+(C9*H9),0)</f>
        <v>1532737</v>
      </c>
      <c r="J9" s="9">
        <f t="shared" ref="J9:J10" si="2">+G9-I9</f>
        <v>10179141</v>
      </c>
    </row>
    <row r="10" spans="1:10" ht="18" customHeight="1" x14ac:dyDescent="0.3">
      <c r="A10" s="4">
        <v>3</v>
      </c>
      <c r="B10" s="25" t="s">
        <v>428</v>
      </c>
      <c r="C10" s="8">
        <v>848986</v>
      </c>
      <c r="D10" s="8">
        <v>3001040</v>
      </c>
      <c r="E10" s="8">
        <v>9153</v>
      </c>
      <c r="F10" s="8">
        <v>0</v>
      </c>
      <c r="G10" s="8">
        <f t="shared" si="0"/>
        <v>3859179</v>
      </c>
      <c r="H10" s="26">
        <v>0.1</v>
      </c>
      <c r="I10" s="8">
        <f t="shared" si="1"/>
        <v>235866</v>
      </c>
      <c r="J10" s="9">
        <f t="shared" si="2"/>
        <v>3623313</v>
      </c>
    </row>
    <row r="11" spans="1:10" ht="18" customHeight="1" x14ac:dyDescent="0.3">
      <c r="A11" s="4" t="s">
        <v>7</v>
      </c>
      <c r="B11" s="25"/>
      <c r="C11" s="8"/>
      <c r="D11" s="8"/>
      <c r="E11" s="8"/>
      <c r="F11" s="8"/>
      <c r="G11" s="8"/>
      <c r="H11" s="27" t="s">
        <v>7</v>
      </c>
      <c r="I11" s="8"/>
      <c r="J11" s="9"/>
    </row>
    <row r="12" spans="1:10" ht="18" customHeight="1" thickBot="1" x14ac:dyDescent="0.35">
      <c r="A12" s="4" t="s">
        <v>7</v>
      </c>
      <c r="B12" s="145" t="s">
        <v>18</v>
      </c>
      <c r="C12" s="146">
        <f>SUM(C7:C11)</f>
        <v>7552433</v>
      </c>
      <c r="D12" s="146">
        <f>SUM(D7:D11)</f>
        <v>6367004</v>
      </c>
      <c r="E12" s="146">
        <f>SUM(E7:E11)</f>
        <v>2793461</v>
      </c>
      <c r="F12" s="146">
        <f>SUM(F7:F11)</f>
        <v>0</v>
      </c>
      <c r="G12" s="146">
        <f>SUM(G7:G11)</f>
        <v>16712898</v>
      </c>
      <c r="H12" s="147" t="s">
        <v>7</v>
      </c>
      <c r="I12" s="146">
        <f>SUM(I7:I11)</f>
        <v>2149600</v>
      </c>
      <c r="J12" s="148">
        <f>SUM(J7:J11)</f>
        <v>14563298</v>
      </c>
    </row>
    <row r="13" spans="1:10" ht="18" customHeight="1" thickTop="1" thickBot="1" x14ac:dyDescent="0.35">
      <c r="A13" s="5" t="s">
        <v>7</v>
      </c>
      <c r="B13" s="6"/>
      <c r="C13" s="6"/>
      <c r="D13" s="6"/>
      <c r="E13" s="6"/>
      <c r="F13" s="6"/>
      <c r="G13" s="6"/>
      <c r="H13" s="6"/>
      <c r="I13" s="6"/>
      <c r="J13" s="7"/>
    </row>
    <row r="14" spans="1:10" ht="18" customHeight="1" x14ac:dyDescent="0.3">
      <c r="A14" s="22" t="s">
        <v>7</v>
      </c>
    </row>
    <row r="15" spans="1:10" ht="18" customHeight="1" x14ac:dyDescent="0.3">
      <c r="A15" s="1" t="s">
        <v>7</v>
      </c>
    </row>
  </sheetData>
  <sheetProtection sheet="1" objects="1" scenarios="1"/>
  <mergeCells count="12">
    <mergeCell ref="H5:H6"/>
    <mergeCell ref="I5:I6"/>
    <mergeCell ref="J5:J6"/>
    <mergeCell ref="A1:J1"/>
    <mergeCell ref="A2:J2"/>
    <mergeCell ref="A3:J3"/>
    <mergeCell ref="A5:A6"/>
    <mergeCell ref="B5:B6"/>
    <mergeCell ref="C5:C6"/>
    <mergeCell ref="D5:E5"/>
    <mergeCell ref="F5:F6"/>
    <mergeCell ref="G5:G6"/>
  </mergeCells>
  <pageMargins left="0.59055118110236227" right="0.59055118110236227" top="0.59055118110236227" bottom="0.59055118110236227" header="0" footer="0"/>
  <pageSetup paperSize="9" scale="8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22191-E767-47BF-ABC8-B5380666DAE6}">
  <dimension ref="A1:G25"/>
  <sheetViews>
    <sheetView showGridLines="0" view="pageBreakPreview" zoomScaleNormal="100" zoomScaleSheetLayoutView="100" workbookViewId="0">
      <selection activeCell="D6" sqref="D6"/>
    </sheetView>
  </sheetViews>
  <sheetFormatPr defaultColWidth="8.88671875" defaultRowHeight="18" customHeight="1" x14ac:dyDescent="0.3"/>
  <cols>
    <col min="1" max="1" width="5.5546875" style="31" bestFit="1" customWidth="1"/>
    <col min="2" max="2" width="35" style="31" bestFit="1" customWidth="1"/>
    <col min="3" max="4" width="18.88671875" style="31" bestFit="1" customWidth="1"/>
    <col min="5" max="5" width="18.33203125" style="31" customWidth="1"/>
    <col min="6" max="6" width="8.88671875" style="31"/>
    <col min="7" max="7" width="16.6640625" style="31" bestFit="1" customWidth="1"/>
    <col min="8" max="16384" width="8.88671875" style="31"/>
  </cols>
  <sheetData>
    <row r="1" spans="1:7" ht="18" customHeight="1" x14ac:dyDescent="0.3">
      <c r="A1" s="364" t="str">
        <f>+BS!A1</f>
        <v>PROGEN RENEWABLES LIMITED</v>
      </c>
      <c r="B1" s="364"/>
      <c r="C1" s="364"/>
      <c r="D1" s="364"/>
    </row>
    <row r="2" spans="1:7" ht="18" customHeight="1" x14ac:dyDescent="0.3">
      <c r="A2" s="364" t="s">
        <v>175</v>
      </c>
      <c r="B2" s="364"/>
      <c r="C2" s="364"/>
      <c r="D2" s="364"/>
    </row>
    <row r="3" spans="1:7" ht="18" customHeight="1" thickBot="1" x14ac:dyDescent="0.35"/>
    <row r="4" spans="1:7" ht="48.6" customHeight="1" x14ac:dyDescent="0.3">
      <c r="A4" s="151" t="s">
        <v>60</v>
      </c>
      <c r="B4" s="108" t="s">
        <v>0</v>
      </c>
      <c r="C4" s="58" t="s">
        <v>156</v>
      </c>
      <c r="D4" s="58" t="s">
        <v>148</v>
      </c>
      <c r="E4" s="110" t="s">
        <v>426</v>
      </c>
    </row>
    <row r="5" spans="1:7" ht="18" customHeight="1" x14ac:dyDescent="0.3">
      <c r="A5" s="111">
        <v>1</v>
      </c>
      <c r="B5" s="152" t="s">
        <v>154</v>
      </c>
      <c r="C5" s="141">
        <f>SUM(BS!D34+BS!D35+BS!D36+BS!D37+BS!D38)</f>
        <v>922269024</v>
      </c>
      <c r="D5" s="141">
        <f>SUM(BS!E34+BS!E35+BS!E36+BS!E37+BS!E38)</f>
        <v>448884962</v>
      </c>
      <c r="E5" s="142">
        <f>SUM(BS!G34+BS!G35+BS!G36+BS!G37+BS!G38)</f>
        <v>425426831</v>
      </c>
    </row>
    <row r="6" spans="1:7" ht="18" customHeight="1" x14ac:dyDescent="0.3">
      <c r="A6" s="111">
        <v>2</v>
      </c>
      <c r="B6" s="152" t="s">
        <v>155</v>
      </c>
      <c r="C6" s="141">
        <f>SUM(BS!D18+BS!D19+BS!D20+BS!D21)</f>
        <v>530939196</v>
      </c>
      <c r="D6" s="141">
        <f>SUM(BS!E18+BS!E19+BS!E20+BS!E21)</f>
        <v>346254265</v>
      </c>
      <c r="E6" s="142">
        <f>SUM(BS!G18+BS!G19+BS!G20+BS!G21)</f>
        <v>395178874</v>
      </c>
    </row>
    <row r="7" spans="1:7" ht="18" customHeight="1" x14ac:dyDescent="0.3">
      <c r="A7" s="111">
        <v>3</v>
      </c>
      <c r="B7" s="152" t="s">
        <v>158</v>
      </c>
      <c r="C7" s="141">
        <f>+BS!D13+BS!D18</f>
        <v>62572534</v>
      </c>
      <c r="D7" s="141">
        <f>+BS!E13+BS!E18</f>
        <v>40603051</v>
      </c>
      <c r="E7" s="142">
        <f>+BS!G13+BS!G18</f>
        <v>13164484</v>
      </c>
    </row>
    <row r="8" spans="1:7" ht="18" customHeight="1" x14ac:dyDescent="0.3">
      <c r="A8" s="111">
        <v>4</v>
      </c>
      <c r="B8" s="152" t="s">
        <v>159</v>
      </c>
      <c r="C8" s="141">
        <f>SUM(BS!D9+BS!D10)</f>
        <v>452910231</v>
      </c>
      <c r="D8" s="141">
        <f>SUM(BS!E9+BS!E10)</f>
        <v>120282963</v>
      </c>
      <c r="E8" s="142">
        <f>SUM(BS!G9+BS!G10)</f>
        <v>35498048</v>
      </c>
    </row>
    <row r="9" spans="1:7" ht="18" customHeight="1" x14ac:dyDescent="0.3">
      <c r="A9" s="111">
        <v>5</v>
      </c>
      <c r="B9" s="152" t="s">
        <v>160</v>
      </c>
      <c r="C9" s="141">
        <f>+'P&amp;L'!D25-'P&amp;L'!D27+'Notes-P&amp;L'!C75+'Notes-P&amp;L'!C65</f>
        <v>128847674</v>
      </c>
      <c r="D9" s="141">
        <f>+'P&amp;L'!E25-'P&amp;L'!E27+'Notes-P&amp;L'!D75+'Notes-P&amp;L'!D65</f>
        <v>83369165</v>
      </c>
      <c r="E9" s="142">
        <f>+'P&amp;L'!F25+'Notes-P&amp;L'!E65+'Notes-P&amp;L'!E72</f>
        <v>16183269</v>
      </c>
    </row>
    <row r="10" spans="1:7" ht="18" customHeight="1" x14ac:dyDescent="0.3">
      <c r="A10" s="111">
        <v>6</v>
      </c>
      <c r="B10" s="152" t="s">
        <v>161</v>
      </c>
      <c r="C10" s="149">
        <f>+'Notes-P&amp;L'!C65+'Notes - '!D59</f>
        <v>3823144</v>
      </c>
      <c r="D10" s="141">
        <f>+'Notes-P&amp;L'!D65+'Notes - '!F59</f>
        <v>2080629</v>
      </c>
      <c r="E10" s="150">
        <f>+'Notes-P&amp;L'!E65+'Notes - '!H59</f>
        <v>1218909</v>
      </c>
    </row>
    <row r="11" spans="1:7" ht="18" customHeight="1" x14ac:dyDescent="0.3">
      <c r="A11" s="111">
        <v>7</v>
      </c>
      <c r="B11" s="152" t="s">
        <v>162</v>
      </c>
      <c r="C11" s="141">
        <f>+'P&amp;L'!D33</f>
        <v>126295478</v>
      </c>
      <c r="D11" s="141">
        <f>+'P&amp;L'!E33</f>
        <v>71584849</v>
      </c>
      <c r="E11" s="142">
        <f>+'P&amp;L'!F33</f>
        <v>14909394</v>
      </c>
    </row>
    <row r="12" spans="1:7" ht="18" customHeight="1" x14ac:dyDescent="0.3">
      <c r="A12" s="111">
        <v>8</v>
      </c>
      <c r="B12" s="152" t="s">
        <v>163</v>
      </c>
      <c r="C12" s="141">
        <f>ROUND(((C8+D8)/2),0)</f>
        <v>286596597</v>
      </c>
      <c r="D12" s="141">
        <f>ROUND(((D8+E8)/2),0)</f>
        <v>77890506</v>
      </c>
      <c r="E12" s="142">
        <v>0</v>
      </c>
    </row>
    <row r="13" spans="1:7" ht="18" customHeight="1" x14ac:dyDescent="0.3">
      <c r="A13" s="111">
        <v>9</v>
      </c>
      <c r="B13" s="152" t="s">
        <v>881</v>
      </c>
      <c r="C13" s="141">
        <f>+'P&amp;L'!D9</f>
        <v>1347288769</v>
      </c>
      <c r="D13" s="141">
        <f>+'P&amp;L'!E9</f>
        <v>1116629346</v>
      </c>
      <c r="E13" s="142">
        <f>+'P&amp;L'!F9</f>
        <v>565057844</v>
      </c>
      <c r="G13" s="40" t="s">
        <v>7</v>
      </c>
    </row>
    <row r="14" spans="1:7" ht="18" customHeight="1" x14ac:dyDescent="0.3">
      <c r="A14" s="111">
        <v>10</v>
      </c>
      <c r="B14" s="152" t="s">
        <v>157</v>
      </c>
      <c r="C14" s="141">
        <f>ROUND(((BS!E35+BS!D35)/2),0)</f>
        <v>473449380</v>
      </c>
      <c r="D14" s="141">
        <f>ROUND(((BS!G35+BS!E35)/2),0)</f>
        <v>162010810</v>
      </c>
      <c r="E14" s="142">
        <v>0</v>
      </c>
      <c r="G14" s="31" t="s">
        <v>7</v>
      </c>
    </row>
    <row r="15" spans="1:7" ht="18" customHeight="1" x14ac:dyDescent="0.3">
      <c r="A15" s="111">
        <v>11</v>
      </c>
      <c r="B15" s="152" t="s">
        <v>882</v>
      </c>
      <c r="C15" s="141">
        <f>+'P&amp;L'!D11</f>
        <v>713272184</v>
      </c>
      <c r="D15" s="141">
        <f>+'P&amp;L'!E11</f>
        <v>690532439</v>
      </c>
      <c r="E15" s="142">
        <f>+'P&amp;L'!F11</f>
        <v>321635156</v>
      </c>
    </row>
    <row r="16" spans="1:7" ht="18" customHeight="1" x14ac:dyDescent="0.3">
      <c r="A16" s="111">
        <v>12</v>
      </c>
      <c r="B16" s="152" t="s">
        <v>169</v>
      </c>
      <c r="C16" s="141">
        <f>ROUND(((BS!D19+BS!E19)/2),0)</f>
        <v>163033778</v>
      </c>
      <c r="D16" s="141">
        <f>ROUND(((BS!G19+BS!E19)/2),0)</f>
        <v>82691745</v>
      </c>
      <c r="E16" s="142">
        <v>0</v>
      </c>
      <c r="G16" s="40" t="s">
        <v>7</v>
      </c>
    </row>
    <row r="17" spans="1:7" ht="18" customHeight="1" x14ac:dyDescent="0.3">
      <c r="A17" s="111">
        <v>13</v>
      </c>
      <c r="B17" s="152" t="s">
        <v>883</v>
      </c>
      <c r="C17" s="141">
        <f>+C5-C6</f>
        <v>391329828</v>
      </c>
      <c r="D17" s="141">
        <f>+D5-D6</f>
        <v>102630697</v>
      </c>
      <c r="E17" s="142">
        <f>+E5-E6</f>
        <v>30247957</v>
      </c>
      <c r="G17" s="40" t="s">
        <v>7</v>
      </c>
    </row>
    <row r="18" spans="1:7" ht="18" customHeight="1" x14ac:dyDescent="0.3">
      <c r="A18" s="111">
        <v>14</v>
      </c>
      <c r="B18" s="152" t="s">
        <v>432</v>
      </c>
      <c r="C18" s="141">
        <f>+BS!D34</f>
        <v>38325985</v>
      </c>
      <c r="D18" s="141">
        <f>+BS!E34</f>
        <v>117014200</v>
      </c>
      <c r="E18" s="142">
        <f>+BS!G34</f>
        <v>257149228</v>
      </c>
      <c r="G18" s="31" t="s">
        <v>7</v>
      </c>
    </row>
    <row r="19" spans="1:7" ht="18" customHeight="1" x14ac:dyDescent="0.3">
      <c r="A19" s="111">
        <v>15</v>
      </c>
      <c r="B19" s="152" t="s">
        <v>793</v>
      </c>
      <c r="C19" s="141">
        <f>ROUND(((C18+D18)/2),0)</f>
        <v>77670093</v>
      </c>
      <c r="D19" s="141">
        <f>ROUND(((D18+E18)/2),0)</f>
        <v>187081714</v>
      </c>
      <c r="E19" s="142">
        <v>0</v>
      </c>
    </row>
    <row r="20" spans="1:7" ht="18" customHeight="1" x14ac:dyDescent="0.3">
      <c r="A20" s="111">
        <v>16</v>
      </c>
      <c r="B20" s="152" t="s">
        <v>430</v>
      </c>
      <c r="C20" s="141">
        <f>+'P&amp;L'!D25+'P&amp;L'!D15+'Notes-P&amp;L'!C65+'Notes-P&amp;L'!C66</f>
        <v>175278370</v>
      </c>
      <c r="D20" s="141">
        <f>+'P&amp;L'!E25+'P&amp;L'!E15+'Notes-P&amp;L'!D65+'Notes-P&amp;L'!D66</f>
        <v>111144247</v>
      </c>
      <c r="E20" s="142">
        <f>+'P&amp;L'!F25+'P&amp;L'!F15+'Notes-P&amp;L'!E65+'Notes-P&amp;L'!E66</f>
        <v>16183269</v>
      </c>
    </row>
    <row r="21" spans="1:7" ht="18" customHeight="1" x14ac:dyDescent="0.3">
      <c r="A21" s="111">
        <v>17</v>
      </c>
      <c r="B21" s="152" t="s">
        <v>979</v>
      </c>
      <c r="C21" s="141">
        <f>+'P&amp;L'!D25+'Notes-P&amp;L'!C65+'Notes-P&amp;L'!C66</f>
        <v>173465360</v>
      </c>
      <c r="D21" s="141">
        <f>+'P&amp;L'!E25+'Notes-P&amp;L'!D65+'Notes-P&amp;L'!D66</f>
        <v>110064259</v>
      </c>
      <c r="E21" s="142">
        <f>+'P&amp;L'!F25+'Notes-P&amp;L'!E65</f>
        <v>15277954</v>
      </c>
    </row>
    <row r="22" spans="1:7" ht="18" customHeight="1" x14ac:dyDescent="0.3">
      <c r="A22" s="111">
        <v>18</v>
      </c>
      <c r="B22" s="152" t="s">
        <v>176</v>
      </c>
      <c r="C22" s="141">
        <f>+BS!D39</f>
        <v>987263149</v>
      </c>
      <c r="D22" s="141">
        <f>+BS!E39</f>
        <v>468814666</v>
      </c>
      <c r="E22" s="142">
        <f>+BS!G39</f>
        <v>433875966</v>
      </c>
    </row>
    <row r="23" spans="1:7" ht="18" customHeight="1" x14ac:dyDescent="0.3">
      <c r="A23" s="111">
        <v>19</v>
      </c>
      <c r="B23" s="152" t="s">
        <v>172</v>
      </c>
      <c r="C23" s="141">
        <f>+C22-C6</f>
        <v>456323953</v>
      </c>
      <c r="D23" s="141">
        <f>+D22-D6</f>
        <v>122560401</v>
      </c>
      <c r="E23" s="142">
        <f>+E22-E6</f>
        <v>38697092</v>
      </c>
    </row>
    <row r="24" spans="1:7" ht="18" customHeight="1" x14ac:dyDescent="0.3">
      <c r="A24" s="111">
        <v>20</v>
      </c>
      <c r="B24" s="152" t="s">
        <v>173</v>
      </c>
      <c r="C24" s="141">
        <v>0</v>
      </c>
      <c r="D24" s="141">
        <v>0</v>
      </c>
      <c r="E24" s="142">
        <v>0</v>
      </c>
    </row>
    <row r="25" spans="1:7" ht="18" customHeight="1" thickBot="1" x14ac:dyDescent="0.35">
      <c r="A25" s="111">
        <v>20</v>
      </c>
      <c r="B25" s="153" t="s">
        <v>174</v>
      </c>
      <c r="C25" s="143">
        <v>0</v>
      </c>
      <c r="D25" s="143">
        <v>0</v>
      </c>
      <c r="E25" s="144">
        <v>0</v>
      </c>
    </row>
  </sheetData>
  <sheetProtection sheet="1" objects="1" scenarios="1"/>
  <mergeCells count="2">
    <mergeCell ref="A1:D1"/>
    <mergeCell ref="A2:D2"/>
  </mergeCells>
  <pageMargins left="0.39370078740157483" right="0.39370078740157483" top="0.78740157480314965" bottom="0.78740157480314965" header="0" footer="0"/>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EF20F-87FE-4EC0-BC79-EC4C0D0DA578}">
  <dimension ref="A1:Z132"/>
  <sheetViews>
    <sheetView showGridLines="0" view="pageBreakPreview" topLeftCell="B22" zoomScaleNormal="96" zoomScaleSheetLayoutView="100" workbookViewId="0">
      <selection activeCell="D6" sqref="D6"/>
    </sheetView>
  </sheetViews>
  <sheetFormatPr defaultColWidth="8.88671875" defaultRowHeight="16.95" customHeight="1" x14ac:dyDescent="0.3"/>
  <cols>
    <col min="1" max="1" width="6.6640625" style="31" customWidth="1"/>
    <col min="2" max="2" width="52.6640625" style="31" customWidth="1"/>
    <col min="3" max="4" width="21.6640625" style="31" customWidth="1"/>
    <col min="5" max="5" width="2.6640625" style="31" customWidth="1"/>
    <col min="6" max="6" width="6.6640625" style="31" customWidth="1"/>
    <col min="7" max="7" width="52.6640625" style="31" customWidth="1"/>
    <col min="8" max="9" width="21.6640625" style="31" customWidth="1"/>
    <col min="10" max="10" width="2.6640625" style="31" customWidth="1"/>
    <col min="11" max="11" width="6.6640625" style="31" customWidth="1"/>
    <col min="12" max="12" width="52.88671875" style="31" customWidth="1"/>
    <col min="13" max="14" width="21.6640625" style="31" customWidth="1"/>
    <col min="15" max="15" width="2.6640625" style="31" customWidth="1"/>
    <col min="16" max="16" width="6.6640625" style="31" customWidth="1"/>
    <col min="17" max="17" width="52.6640625" style="31" customWidth="1"/>
    <col min="18" max="19" width="21.6640625" style="31" customWidth="1"/>
    <col min="20" max="20" width="2.6640625" style="31" customWidth="1"/>
    <col min="21" max="21" width="6.6640625" style="31" customWidth="1"/>
    <col min="22" max="22" width="52.6640625" style="31" customWidth="1"/>
    <col min="23" max="24" width="21.6640625" style="31" customWidth="1"/>
    <col min="25" max="16384" width="8.88671875" style="31"/>
  </cols>
  <sheetData>
    <row r="1" spans="1:26" ht="16.95" customHeight="1" x14ac:dyDescent="0.3">
      <c r="A1" s="364" t="str">
        <f>+'Note 4 - SOCES'!A1:G1</f>
        <v>PROGEN RENEWABLES LIMITED</v>
      </c>
      <c r="B1" s="364"/>
      <c r="C1" s="364"/>
      <c r="D1" s="364"/>
      <c r="E1" s="80"/>
      <c r="F1" s="364" t="str">
        <f>+A1</f>
        <v>PROGEN RENEWABLES LIMITED</v>
      </c>
      <c r="G1" s="364"/>
      <c r="H1" s="364"/>
      <c r="I1" s="364"/>
      <c r="K1" s="909" t="s">
        <v>437</v>
      </c>
      <c r="L1" s="909"/>
      <c r="M1" s="909"/>
      <c r="N1" s="909"/>
      <c r="P1" s="364" t="s">
        <v>437</v>
      </c>
      <c r="Q1" s="364"/>
      <c r="R1" s="364"/>
      <c r="S1" s="364"/>
      <c r="U1" s="364" t="s">
        <v>437</v>
      </c>
      <c r="V1" s="364"/>
      <c r="W1" s="364"/>
      <c r="X1" s="364"/>
    </row>
    <row r="2" spans="1:26" ht="16.95" customHeight="1" thickBot="1" x14ac:dyDescent="0.35">
      <c r="A2" s="426" t="str">
        <f>+'Note 4 - SOCES'!A2:G2</f>
        <v>Notes Forming Part of the Financial Statements for the year ended 31th March 2025</v>
      </c>
      <c r="B2" s="426"/>
      <c r="C2" s="426"/>
      <c r="D2" s="426"/>
      <c r="E2" s="80"/>
      <c r="F2" s="426" t="str">
        <f>+A2</f>
        <v>Notes Forming Part of the Financial Statements for the year ended 31th March 2025</v>
      </c>
      <c r="G2" s="426"/>
      <c r="H2" s="426"/>
      <c r="I2" s="426"/>
      <c r="K2" s="910" t="s">
        <v>272</v>
      </c>
      <c r="L2" s="910"/>
      <c r="M2" s="910"/>
      <c r="N2" s="910"/>
      <c r="P2" s="426" t="s">
        <v>272</v>
      </c>
      <c r="Q2" s="426"/>
      <c r="R2" s="426"/>
      <c r="S2" s="426"/>
      <c r="U2" s="426" t="s">
        <v>272</v>
      </c>
      <c r="V2" s="426"/>
      <c r="W2" s="426"/>
      <c r="X2" s="426"/>
    </row>
    <row r="3" spans="1:26" ht="16.95" customHeight="1" x14ac:dyDescent="0.3">
      <c r="A3" s="578" t="e">
        <f>+'Note 4 - SOCES'!#REF!</f>
        <v>#REF!</v>
      </c>
      <c r="B3" s="578"/>
      <c r="C3" s="578"/>
      <c r="D3" s="578"/>
      <c r="E3" s="80"/>
      <c r="F3" s="578" t="e">
        <f>+A3</f>
        <v>#REF!</v>
      </c>
      <c r="G3" s="578"/>
      <c r="H3" s="578"/>
      <c r="I3" s="578"/>
      <c r="K3" s="578" t="s">
        <v>474</v>
      </c>
      <c r="L3" s="578"/>
      <c r="M3" s="578"/>
      <c r="N3" s="578"/>
      <c r="P3" s="578" t="s">
        <v>474</v>
      </c>
      <c r="Q3" s="578"/>
      <c r="R3" s="578"/>
      <c r="S3" s="578"/>
      <c r="U3" s="578" t="s">
        <v>474</v>
      </c>
      <c r="V3" s="578"/>
      <c r="W3" s="578"/>
      <c r="X3" s="578"/>
    </row>
    <row r="4" spans="1:26" ht="16.95" customHeight="1" x14ac:dyDescent="0.3">
      <c r="A4" s="363"/>
      <c r="B4" s="363"/>
      <c r="C4" s="363"/>
      <c r="D4" s="363"/>
      <c r="F4" s="363"/>
      <c r="G4" s="363"/>
      <c r="H4" s="363"/>
      <c r="I4" s="363"/>
      <c r="K4" s="363"/>
      <c r="L4" s="363"/>
      <c r="M4" s="363"/>
      <c r="N4" s="363"/>
    </row>
    <row r="5" spans="1:26" ht="16.95" customHeight="1" thickBot="1" x14ac:dyDescent="0.35">
      <c r="A5" s="364" t="s">
        <v>857</v>
      </c>
      <c r="B5" s="364"/>
      <c r="C5" s="364"/>
      <c r="D5" s="364"/>
      <c r="E5" s="80"/>
      <c r="F5" s="426" t="s">
        <v>863</v>
      </c>
      <c r="G5" s="426"/>
      <c r="H5" s="426"/>
      <c r="I5" s="426"/>
      <c r="K5" s="909" t="s">
        <v>860</v>
      </c>
      <c r="L5" s="909"/>
      <c r="M5" s="909"/>
      <c r="N5" s="909"/>
      <c r="P5" s="364" t="s">
        <v>862</v>
      </c>
      <c r="Q5" s="364"/>
      <c r="R5" s="364"/>
      <c r="S5" s="364"/>
      <c r="U5" s="364" t="s">
        <v>858</v>
      </c>
      <c r="V5" s="364"/>
      <c r="W5" s="364"/>
      <c r="X5" s="364"/>
      <c r="Y5" s="106"/>
      <c r="Z5" s="106"/>
    </row>
    <row r="6" spans="1:26" ht="36" customHeight="1" x14ac:dyDescent="0.3">
      <c r="A6" s="41" t="s">
        <v>60</v>
      </c>
      <c r="B6" s="108" t="s">
        <v>594</v>
      </c>
      <c r="C6" s="58" t="s">
        <v>1</v>
      </c>
      <c r="D6" s="248" t="s">
        <v>2</v>
      </c>
      <c r="E6" s="122"/>
      <c r="F6" s="41" t="str">
        <f>+A6</f>
        <v>S.No</v>
      </c>
      <c r="G6" s="108" t="str">
        <f>+B6</f>
        <v>Name of the Parties</v>
      </c>
      <c r="H6" s="58" t="s">
        <v>1</v>
      </c>
      <c r="I6" s="248" t="s">
        <v>2</v>
      </c>
      <c r="K6" s="41" t="s">
        <v>60</v>
      </c>
      <c r="L6" s="108" t="s">
        <v>594</v>
      </c>
      <c r="M6" s="58" t="s">
        <v>1</v>
      </c>
      <c r="N6" s="248" t="s">
        <v>2</v>
      </c>
      <c r="P6" s="35" t="s">
        <v>60</v>
      </c>
      <c r="Q6" s="58" t="s">
        <v>594</v>
      </c>
      <c r="R6" s="260" t="str">
        <f>+M6</f>
        <v>For the year ended March 31, 2025</v>
      </c>
      <c r="S6" s="261" t="str">
        <f>+N6</f>
        <v>For the year ended March 31, 2024</v>
      </c>
      <c r="U6" s="41" t="s">
        <v>60</v>
      </c>
      <c r="V6" s="108" t="s">
        <v>594</v>
      </c>
      <c r="W6" s="260" t="str">
        <f>+R6</f>
        <v>For the year ended March 31, 2025</v>
      </c>
      <c r="X6" s="261" t="str">
        <f>+S6</f>
        <v>For the year ended March 31, 2024</v>
      </c>
    </row>
    <row r="7" spans="1:26" ht="16.95" customHeight="1" x14ac:dyDescent="0.3">
      <c r="A7" s="32">
        <v>1</v>
      </c>
      <c r="B7" s="318" t="s">
        <v>593</v>
      </c>
      <c r="C7" s="11">
        <v>55899</v>
      </c>
      <c r="D7" s="12">
        <v>56430</v>
      </c>
      <c r="E7" s="193"/>
      <c r="F7" s="32">
        <v>1</v>
      </c>
      <c r="G7" s="318" t="s">
        <v>589</v>
      </c>
      <c r="H7" s="11">
        <v>84468</v>
      </c>
      <c r="I7" s="12">
        <v>0</v>
      </c>
      <c r="K7" s="32">
        <v>1</v>
      </c>
      <c r="L7" s="318" t="s">
        <v>641</v>
      </c>
      <c r="M7" s="11">
        <v>82832</v>
      </c>
      <c r="N7" s="12">
        <v>0</v>
      </c>
      <c r="P7" s="32">
        <v>1</v>
      </c>
      <c r="Q7" s="318" t="s">
        <v>651</v>
      </c>
      <c r="R7" s="11">
        <v>26133503</v>
      </c>
      <c r="S7" s="12">
        <v>0</v>
      </c>
      <c r="U7" s="32">
        <v>1</v>
      </c>
      <c r="V7" s="97" t="s">
        <v>726</v>
      </c>
      <c r="W7" s="11">
        <v>0</v>
      </c>
      <c r="X7" s="12">
        <v>100632320</v>
      </c>
    </row>
    <row r="8" spans="1:26" ht="16.95" customHeight="1" x14ac:dyDescent="0.3">
      <c r="A8" s="32">
        <v>2</v>
      </c>
      <c r="B8" s="318" t="s">
        <v>592</v>
      </c>
      <c r="C8" s="11">
        <v>31313434</v>
      </c>
      <c r="D8" s="12">
        <v>16423736</v>
      </c>
      <c r="E8" s="193"/>
      <c r="F8" s="32">
        <v>2</v>
      </c>
      <c r="G8" s="318" t="s">
        <v>729</v>
      </c>
      <c r="H8" s="11">
        <v>3877</v>
      </c>
      <c r="I8" s="12">
        <v>12553</v>
      </c>
      <c r="K8" s="32">
        <v>2</v>
      </c>
      <c r="L8" s="318" t="s">
        <v>596</v>
      </c>
      <c r="M8" s="11">
        <v>2200000</v>
      </c>
      <c r="N8" s="12">
        <v>0</v>
      </c>
      <c r="P8" s="32">
        <v>2</v>
      </c>
      <c r="Q8" s="318" t="s">
        <v>652</v>
      </c>
      <c r="R8" s="11">
        <v>20397777</v>
      </c>
      <c r="S8" s="12">
        <v>0</v>
      </c>
      <c r="U8" s="32">
        <v>2</v>
      </c>
      <c r="V8" s="97" t="s">
        <v>725</v>
      </c>
      <c r="W8" s="11">
        <v>0</v>
      </c>
      <c r="X8" s="12">
        <v>1000000</v>
      </c>
    </row>
    <row r="9" spans="1:26" ht="16.95" customHeight="1" x14ac:dyDescent="0.3">
      <c r="A9" s="32">
        <v>3</v>
      </c>
      <c r="B9" s="318" t="s">
        <v>591</v>
      </c>
      <c r="C9" s="11">
        <v>3750</v>
      </c>
      <c r="D9" s="12">
        <v>0</v>
      </c>
      <c r="E9" s="193"/>
      <c r="F9" s="32">
        <v>3</v>
      </c>
      <c r="G9" s="318" t="s">
        <v>508</v>
      </c>
      <c r="H9" s="11">
        <v>248401</v>
      </c>
      <c r="I9" s="12">
        <v>0</v>
      </c>
      <c r="K9" s="32">
        <v>3</v>
      </c>
      <c r="L9" s="318" t="s">
        <v>506</v>
      </c>
      <c r="M9" s="11">
        <v>0</v>
      </c>
      <c r="N9" s="12">
        <v>1185284</v>
      </c>
      <c r="P9" s="32">
        <v>3</v>
      </c>
      <c r="Q9" s="318" t="s">
        <v>758</v>
      </c>
      <c r="R9" s="11">
        <v>0</v>
      </c>
      <c r="S9" s="12">
        <v>123996</v>
      </c>
      <c r="U9" s="32">
        <v>3</v>
      </c>
      <c r="V9" s="97" t="s">
        <v>690</v>
      </c>
      <c r="W9" s="11">
        <v>15912899</v>
      </c>
      <c r="X9" s="12">
        <v>0</v>
      </c>
    </row>
    <row r="10" spans="1:26" ht="16.95" customHeight="1" x14ac:dyDescent="0.3">
      <c r="A10" s="32">
        <v>4</v>
      </c>
      <c r="B10" s="318" t="s">
        <v>588</v>
      </c>
      <c r="C10" s="11">
        <v>0</v>
      </c>
      <c r="D10" s="12">
        <v>20650</v>
      </c>
      <c r="E10" s="193"/>
      <c r="F10" s="32">
        <v>4</v>
      </c>
      <c r="G10" s="318" t="s">
        <v>730</v>
      </c>
      <c r="H10" s="11">
        <v>5824805</v>
      </c>
      <c r="I10" s="12">
        <v>0</v>
      </c>
      <c r="K10" s="32">
        <v>4</v>
      </c>
      <c r="L10" s="318" t="s">
        <v>707</v>
      </c>
      <c r="M10" s="11">
        <v>5500</v>
      </c>
      <c r="N10" s="12">
        <v>21000</v>
      </c>
      <c r="P10" s="32">
        <v>4</v>
      </c>
      <c r="Q10" s="318" t="s">
        <v>653</v>
      </c>
      <c r="R10" s="11">
        <v>0</v>
      </c>
      <c r="S10" s="12">
        <v>628169</v>
      </c>
      <c r="U10" s="32">
        <v>4</v>
      </c>
      <c r="V10" s="97" t="s">
        <v>691</v>
      </c>
      <c r="W10" s="11">
        <v>0</v>
      </c>
      <c r="X10" s="12">
        <v>1000000</v>
      </c>
    </row>
    <row r="11" spans="1:26" ht="16.95" customHeight="1" x14ac:dyDescent="0.3">
      <c r="A11" s="32">
        <v>5</v>
      </c>
      <c r="B11" s="318" t="s">
        <v>587</v>
      </c>
      <c r="C11" s="11">
        <v>49847</v>
      </c>
      <c r="D11" s="12">
        <v>0</v>
      </c>
      <c r="E11" s="193"/>
      <c r="F11" s="32">
        <v>5</v>
      </c>
      <c r="G11" s="318" t="s">
        <v>514</v>
      </c>
      <c r="H11" s="11">
        <v>161460</v>
      </c>
      <c r="I11" s="12">
        <v>179920</v>
      </c>
      <c r="K11" s="32">
        <v>5</v>
      </c>
      <c r="L11" s="318" t="s">
        <v>642</v>
      </c>
      <c r="M11" s="11">
        <v>88202</v>
      </c>
      <c r="N11" s="12">
        <v>0</v>
      </c>
      <c r="P11" s="32">
        <v>5</v>
      </c>
      <c r="Q11" s="318" t="s">
        <v>759</v>
      </c>
      <c r="R11" s="11">
        <v>0</v>
      </c>
      <c r="S11" s="12">
        <v>136468</v>
      </c>
      <c r="T11" s="31" t="s">
        <v>7</v>
      </c>
      <c r="U11" s="32">
        <v>5</v>
      </c>
      <c r="V11" s="97" t="s">
        <v>692</v>
      </c>
      <c r="W11" s="11">
        <v>857143</v>
      </c>
      <c r="X11" s="12">
        <v>0</v>
      </c>
    </row>
    <row r="12" spans="1:26" ht="16.95" customHeight="1" x14ac:dyDescent="0.3">
      <c r="A12" s="32">
        <v>6</v>
      </c>
      <c r="B12" s="318" t="s">
        <v>585</v>
      </c>
      <c r="C12" s="11">
        <v>0</v>
      </c>
      <c r="D12" s="12">
        <v>534229</v>
      </c>
      <c r="E12" s="193"/>
      <c r="F12" s="32">
        <v>6</v>
      </c>
      <c r="G12" s="318" t="s">
        <v>731</v>
      </c>
      <c r="H12" s="11">
        <v>0</v>
      </c>
      <c r="I12" s="12">
        <v>917064</v>
      </c>
      <c r="K12" s="32">
        <v>6</v>
      </c>
      <c r="L12" s="318" t="s">
        <v>708</v>
      </c>
      <c r="M12" s="11">
        <v>100000</v>
      </c>
      <c r="N12" s="12">
        <v>0</v>
      </c>
      <c r="P12" s="32">
        <v>6</v>
      </c>
      <c r="Q12" s="318" t="s">
        <v>654</v>
      </c>
      <c r="R12" s="11">
        <v>11000000</v>
      </c>
      <c r="S12" s="12">
        <v>0</v>
      </c>
      <c r="U12" s="32">
        <v>6</v>
      </c>
      <c r="V12" s="97" t="s">
        <v>682</v>
      </c>
      <c r="W12" s="11">
        <v>0</v>
      </c>
      <c r="X12" s="12">
        <v>1000000</v>
      </c>
    </row>
    <row r="13" spans="1:26" ht="16.95" customHeight="1" x14ac:dyDescent="0.3">
      <c r="A13" s="32">
        <v>7</v>
      </c>
      <c r="B13" s="318" t="s">
        <v>584</v>
      </c>
      <c r="C13" s="11">
        <v>0</v>
      </c>
      <c r="D13" s="12">
        <v>10000</v>
      </c>
      <c r="E13" s="193"/>
      <c r="F13" s="32">
        <v>7</v>
      </c>
      <c r="G13" s="318" t="s">
        <v>732</v>
      </c>
      <c r="H13" s="11">
        <v>481520</v>
      </c>
      <c r="I13" s="12">
        <v>88020</v>
      </c>
      <c r="K13" s="32">
        <v>7</v>
      </c>
      <c r="L13" s="318" t="s">
        <v>597</v>
      </c>
      <c r="M13" s="11">
        <v>0</v>
      </c>
      <c r="N13" s="12">
        <v>54869</v>
      </c>
      <c r="P13" s="32">
        <v>7</v>
      </c>
      <c r="Q13" s="318" t="s">
        <v>655</v>
      </c>
      <c r="R13" s="11">
        <v>0</v>
      </c>
      <c r="S13" s="12">
        <v>673248</v>
      </c>
      <c r="U13" s="32">
        <v>7</v>
      </c>
      <c r="V13" s="97" t="s">
        <v>689</v>
      </c>
      <c r="W13" s="11">
        <v>16400000</v>
      </c>
      <c r="X13" s="82">
        <v>0</v>
      </c>
    </row>
    <row r="14" spans="1:26" ht="16.95" customHeight="1" x14ac:dyDescent="0.3">
      <c r="A14" s="32">
        <v>8</v>
      </c>
      <c r="B14" s="318" t="s">
        <v>583</v>
      </c>
      <c r="C14" s="11">
        <v>0</v>
      </c>
      <c r="D14" s="12">
        <v>35700</v>
      </c>
      <c r="E14" s="193"/>
      <c r="F14" s="32">
        <v>8</v>
      </c>
      <c r="G14" s="318" t="s">
        <v>536</v>
      </c>
      <c r="H14" s="11">
        <v>253127</v>
      </c>
      <c r="I14" s="12">
        <v>737885</v>
      </c>
      <c r="K14" s="32">
        <v>8</v>
      </c>
      <c r="L14" s="318" t="s">
        <v>598</v>
      </c>
      <c r="M14" s="11">
        <v>0</v>
      </c>
      <c r="N14" s="12">
        <v>3750000</v>
      </c>
      <c r="P14" s="32">
        <v>8</v>
      </c>
      <c r="Q14" s="318" t="s">
        <v>656</v>
      </c>
      <c r="R14" s="11">
        <v>0</v>
      </c>
      <c r="S14" s="12">
        <v>12435159</v>
      </c>
      <c r="U14" s="32">
        <v>8</v>
      </c>
      <c r="V14" s="97" t="s">
        <v>688</v>
      </c>
      <c r="W14" s="11">
        <v>2400000</v>
      </c>
      <c r="X14" s="12">
        <v>0</v>
      </c>
    </row>
    <row r="15" spans="1:26" ht="16.95" customHeight="1" x14ac:dyDescent="0.3">
      <c r="A15" s="32">
        <v>9</v>
      </c>
      <c r="B15" s="318" t="s">
        <v>582</v>
      </c>
      <c r="C15" s="11">
        <v>0</v>
      </c>
      <c r="D15" s="12">
        <v>15500</v>
      </c>
      <c r="E15" s="193"/>
      <c r="F15" s="32">
        <v>9</v>
      </c>
      <c r="G15" s="318" t="s">
        <v>532</v>
      </c>
      <c r="H15" s="11">
        <v>4460</v>
      </c>
      <c r="I15" s="12">
        <v>1111</v>
      </c>
      <c r="K15" s="32">
        <v>9</v>
      </c>
      <c r="L15" s="318" t="s">
        <v>709</v>
      </c>
      <c r="M15" s="11">
        <v>270000</v>
      </c>
      <c r="N15" s="12">
        <v>0</v>
      </c>
      <c r="P15" s="32">
        <v>9</v>
      </c>
      <c r="Q15" s="318" t="s">
        <v>657</v>
      </c>
      <c r="R15" s="11">
        <v>0</v>
      </c>
      <c r="S15" s="12">
        <v>854333</v>
      </c>
      <c r="U15" s="32">
        <v>9</v>
      </c>
      <c r="V15" s="97" t="s">
        <v>724</v>
      </c>
      <c r="W15" s="11">
        <v>2594258</v>
      </c>
      <c r="X15" s="12">
        <v>594258</v>
      </c>
    </row>
    <row r="16" spans="1:26" ht="16.95" customHeight="1" x14ac:dyDescent="0.3">
      <c r="A16" s="32">
        <v>10</v>
      </c>
      <c r="B16" s="318" t="s">
        <v>581</v>
      </c>
      <c r="C16" s="11">
        <v>465000</v>
      </c>
      <c r="D16" s="12">
        <v>0</v>
      </c>
      <c r="E16" s="193"/>
      <c r="F16" s="32">
        <v>10</v>
      </c>
      <c r="G16" s="318" t="s">
        <v>534</v>
      </c>
      <c r="H16" s="11">
        <v>90900</v>
      </c>
      <c r="I16" s="12">
        <v>85950</v>
      </c>
      <c r="K16" s="32">
        <v>10</v>
      </c>
      <c r="L16" s="318" t="s">
        <v>599</v>
      </c>
      <c r="M16" s="11">
        <v>0</v>
      </c>
      <c r="N16" s="12">
        <v>2878</v>
      </c>
      <c r="P16" s="32">
        <v>10</v>
      </c>
      <c r="Q16" s="318" t="s">
        <v>761</v>
      </c>
      <c r="R16" s="11">
        <v>0</v>
      </c>
      <c r="S16" s="12">
        <v>7240344</v>
      </c>
      <c r="U16" s="32">
        <v>10</v>
      </c>
      <c r="V16" s="97" t="s">
        <v>693</v>
      </c>
      <c r="W16" s="11">
        <v>1800000</v>
      </c>
      <c r="X16" s="12">
        <v>1800000</v>
      </c>
    </row>
    <row r="17" spans="1:24" ht="16.95" customHeight="1" x14ac:dyDescent="0.3">
      <c r="A17" s="32">
        <v>11</v>
      </c>
      <c r="B17" s="318" t="s">
        <v>580</v>
      </c>
      <c r="C17" s="11">
        <v>0</v>
      </c>
      <c r="D17" s="12">
        <v>35164</v>
      </c>
      <c r="E17" s="193"/>
      <c r="F17" s="32">
        <v>11</v>
      </c>
      <c r="G17" s="318" t="s">
        <v>552</v>
      </c>
      <c r="H17" s="11">
        <v>10311291</v>
      </c>
      <c r="I17" s="12">
        <v>0</v>
      </c>
      <c r="K17" s="32">
        <v>11</v>
      </c>
      <c r="L17" s="318" t="s">
        <v>710</v>
      </c>
      <c r="M17" s="11">
        <v>500000</v>
      </c>
      <c r="N17" s="12">
        <v>0</v>
      </c>
      <c r="P17" s="32">
        <v>11</v>
      </c>
      <c r="Q17" s="318" t="s">
        <v>762</v>
      </c>
      <c r="R17" s="11">
        <v>0</v>
      </c>
      <c r="S17" s="12">
        <v>72450</v>
      </c>
      <c r="U17" s="32">
        <v>11</v>
      </c>
      <c r="V17" s="97" t="s">
        <v>694</v>
      </c>
      <c r="W17" s="11">
        <v>500000</v>
      </c>
      <c r="X17" s="12">
        <v>0</v>
      </c>
    </row>
    <row r="18" spans="1:24" ht="16.95" customHeight="1" x14ac:dyDescent="0.3">
      <c r="A18" s="32">
        <v>12</v>
      </c>
      <c r="B18" s="318" t="s">
        <v>579</v>
      </c>
      <c r="C18" s="11">
        <v>0</v>
      </c>
      <c r="D18" s="12">
        <v>3200</v>
      </c>
      <c r="E18" s="193"/>
      <c r="F18" s="32">
        <v>12</v>
      </c>
      <c r="G18" s="318" t="s">
        <v>562</v>
      </c>
      <c r="H18" s="11">
        <v>0</v>
      </c>
      <c r="I18" s="12">
        <v>1250</v>
      </c>
      <c r="K18" s="32">
        <v>12</v>
      </c>
      <c r="L18" s="318" t="s">
        <v>711</v>
      </c>
      <c r="M18" s="11">
        <v>834000</v>
      </c>
      <c r="N18" s="12">
        <v>0</v>
      </c>
      <c r="P18" s="32">
        <v>12</v>
      </c>
      <c r="Q18" s="318" t="s">
        <v>658</v>
      </c>
      <c r="R18" s="11">
        <v>0</v>
      </c>
      <c r="S18" s="12">
        <v>350400</v>
      </c>
      <c r="U18" s="32">
        <v>12</v>
      </c>
      <c r="V18" s="97" t="s">
        <v>687</v>
      </c>
      <c r="W18" s="11">
        <v>2000000</v>
      </c>
      <c r="X18" s="12">
        <v>0</v>
      </c>
    </row>
    <row r="19" spans="1:24" ht="16.95" customHeight="1" x14ac:dyDescent="0.3">
      <c r="A19" s="32">
        <v>13</v>
      </c>
      <c r="B19" s="318" t="s">
        <v>578</v>
      </c>
      <c r="C19" s="11">
        <v>0</v>
      </c>
      <c r="D19" s="12">
        <v>4602178</v>
      </c>
      <c r="E19" s="193"/>
      <c r="F19" s="32">
        <v>13</v>
      </c>
      <c r="G19" s="318" t="s">
        <v>566</v>
      </c>
      <c r="H19" s="11">
        <v>0</v>
      </c>
      <c r="I19" s="12">
        <v>918</v>
      </c>
      <c r="K19" s="32">
        <v>13</v>
      </c>
      <c r="L19" s="318" t="s">
        <v>600</v>
      </c>
      <c r="M19" s="11">
        <v>1600</v>
      </c>
      <c r="N19" s="12">
        <v>0</v>
      </c>
      <c r="P19" s="32">
        <v>13</v>
      </c>
      <c r="Q19" s="318" t="s">
        <v>659</v>
      </c>
      <c r="R19" s="11">
        <v>0</v>
      </c>
      <c r="S19" s="12">
        <v>11122977</v>
      </c>
      <c r="U19" s="32">
        <v>13</v>
      </c>
      <c r="V19" s="97" t="s">
        <v>723</v>
      </c>
      <c r="W19" s="11">
        <v>0</v>
      </c>
      <c r="X19" s="12">
        <v>1015000</v>
      </c>
    </row>
    <row r="20" spans="1:24" ht="16.95" customHeight="1" x14ac:dyDescent="0.3">
      <c r="A20" s="32">
        <v>14</v>
      </c>
      <c r="B20" s="318" t="s">
        <v>576</v>
      </c>
      <c r="C20" s="11">
        <v>22500</v>
      </c>
      <c r="D20" s="12">
        <v>4500</v>
      </c>
      <c r="E20" s="193"/>
      <c r="F20" s="32">
        <v>14</v>
      </c>
      <c r="G20" s="318" t="s">
        <v>569</v>
      </c>
      <c r="H20" s="11">
        <v>141</v>
      </c>
      <c r="I20" s="12">
        <v>0</v>
      </c>
      <c r="K20" s="32">
        <v>14</v>
      </c>
      <c r="L20" s="318" t="s">
        <v>601</v>
      </c>
      <c r="M20" s="11">
        <v>8961</v>
      </c>
      <c r="N20" s="12">
        <v>0</v>
      </c>
      <c r="P20" s="32">
        <v>14</v>
      </c>
      <c r="Q20" s="318" t="s">
        <v>660</v>
      </c>
      <c r="R20" s="11">
        <v>43203443</v>
      </c>
      <c r="S20" s="12">
        <v>0</v>
      </c>
      <c r="U20" s="32">
        <v>14</v>
      </c>
      <c r="V20" s="97" t="s">
        <v>722</v>
      </c>
      <c r="W20" s="11">
        <v>10000000</v>
      </c>
      <c r="X20" s="12">
        <v>0</v>
      </c>
    </row>
    <row r="21" spans="1:24" ht="16.95" customHeight="1" x14ac:dyDescent="0.3">
      <c r="A21" s="32">
        <v>15</v>
      </c>
      <c r="B21" s="318" t="s">
        <v>570</v>
      </c>
      <c r="C21" s="11">
        <v>21280</v>
      </c>
      <c r="D21" s="12">
        <v>0</v>
      </c>
      <c r="E21" s="193"/>
      <c r="F21" s="32">
        <v>15</v>
      </c>
      <c r="G21" s="318" t="s">
        <v>559</v>
      </c>
      <c r="H21" s="11">
        <v>24479</v>
      </c>
      <c r="I21" s="12">
        <v>241</v>
      </c>
      <c r="K21" s="32">
        <v>15</v>
      </c>
      <c r="L21" s="318" t="s">
        <v>643</v>
      </c>
      <c r="M21" s="11">
        <v>20000</v>
      </c>
      <c r="N21" s="12">
        <v>0</v>
      </c>
      <c r="P21" s="32">
        <v>15</v>
      </c>
      <c r="Q21" s="318" t="s">
        <v>661</v>
      </c>
      <c r="R21" s="11">
        <v>5259103</v>
      </c>
      <c r="S21" s="12">
        <v>7259103</v>
      </c>
      <c r="U21" s="32">
        <v>15</v>
      </c>
      <c r="V21" s="97" t="s">
        <v>721</v>
      </c>
      <c r="W21" s="11">
        <v>0</v>
      </c>
      <c r="X21" s="12">
        <v>17226</v>
      </c>
    </row>
    <row r="22" spans="1:24" ht="16.95" customHeight="1" x14ac:dyDescent="0.3">
      <c r="A22" s="32">
        <v>16</v>
      </c>
      <c r="B22" s="318" t="s">
        <v>567</v>
      </c>
      <c r="C22" s="11">
        <v>0</v>
      </c>
      <c r="D22" s="12">
        <v>46080</v>
      </c>
      <c r="E22" s="193"/>
      <c r="F22" s="32">
        <v>16</v>
      </c>
      <c r="G22" s="318" t="s">
        <v>573</v>
      </c>
      <c r="H22" s="11">
        <v>26162443</v>
      </c>
      <c r="I22" s="12">
        <v>3338468</v>
      </c>
      <c r="K22" s="32">
        <v>16</v>
      </c>
      <c r="L22" s="318" t="s">
        <v>712</v>
      </c>
      <c r="M22" s="11">
        <v>270000</v>
      </c>
      <c r="N22" s="12">
        <v>0</v>
      </c>
      <c r="P22" s="32">
        <v>16</v>
      </c>
      <c r="Q22" s="318" t="s">
        <v>776</v>
      </c>
      <c r="R22" s="11">
        <v>0</v>
      </c>
      <c r="S22" s="12">
        <v>1257500</v>
      </c>
      <c r="U22" s="32">
        <v>16</v>
      </c>
      <c r="V22" s="97" t="s">
        <v>695</v>
      </c>
      <c r="W22" s="11">
        <v>0</v>
      </c>
      <c r="X22" s="12">
        <v>18080</v>
      </c>
    </row>
    <row r="23" spans="1:24" ht="16.95" customHeight="1" x14ac:dyDescent="0.3">
      <c r="A23" s="32">
        <v>17</v>
      </c>
      <c r="B23" s="318" t="s">
        <v>565</v>
      </c>
      <c r="C23" s="11">
        <v>0</v>
      </c>
      <c r="D23" s="12">
        <v>247613</v>
      </c>
      <c r="E23" s="193"/>
      <c r="F23" s="32">
        <v>17</v>
      </c>
      <c r="G23" s="318" t="s">
        <v>557</v>
      </c>
      <c r="H23" s="11">
        <v>0</v>
      </c>
      <c r="I23" s="12">
        <v>28792</v>
      </c>
      <c r="K23" s="32">
        <v>17</v>
      </c>
      <c r="L23" s="318" t="s">
        <v>713</v>
      </c>
      <c r="M23" s="11">
        <v>100000</v>
      </c>
      <c r="N23" s="12">
        <v>0</v>
      </c>
      <c r="P23" s="32">
        <v>17</v>
      </c>
      <c r="Q23" s="318" t="s">
        <v>777</v>
      </c>
      <c r="R23" s="11">
        <v>0</v>
      </c>
      <c r="S23" s="12">
        <v>5992590</v>
      </c>
      <c r="U23" s="32">
        <v>17</v>
      </c>
      <c r="V23" s="97" t="s">
        <v>696</v>
      </c>
      <c r="W23" s="11">
        <v>0</v>
      </c>
      <c r="X23" s="12">
        <v>73100</v>
      </c>
    </row>
    <row r="24" spans="1:24" ht="16.95" customHeight="1" x14ac:dyDescent="0.3">
      <c r="A24" s="32">
        <v>18</v>
      </c>
      <c r="B24" s="318" t="s">
        <v>564</v>
      </c>
      <c r="C24" s="11">
        <v>0</v>
      </c>
      <c r="D24" s="12">
        <v>114116</v>
      </c>
      <c r="E24" s="193"/>
      <c r="F24" s="32">
        <v>18</v>
      </c>
      <c r="G24" s="318" t="s">
        <v>556</v>
      </c>
      <c r="H24" s="11">
        <v>29064</v>
      </c>
      <c r="I24" s="12">
        <v>323766</v>
      </c>
      <c r="K24" s="32">
        <v>18</v>
      </c>
      <c r="L24" s="318" t="s">
        <v>644</v>
      </c>
      <c r="M24" s="11">
        <v>38641521</v>
      </c>
      <c r="N24" s="12">
        <v>0</v>
      </c>
      <c r="P24" s="32">
        <v>18</v>
      </c>
      <c r="Q24" s="318" t="s">
        <v>662</v>
      </c>
      <c r="R24" s="11">
        <v>152250</v>
      </c>
      <c r="S24" s="12">
        <v>145000</v>
      </c>
      <c r="U24" s="32">
        <v>18</v>
      </c>
      <c r="V24" s="97" t="s">
        <v>774</v>
      </c>
      <c r="W24" s="11">
        <v>5000000</v>
      </c>
      <c r="X24" s="82">
        <v>0</v>
      </c>
    </row>
    <row r="25" spans="1:24" ht="16.95" customHeight="1" x14ac:dyDescent="0.3">
      <c r="A25" s="32">
        <v>19</v>
      </c>
      <c r="B25" s="318" t="s">
        <v>563</v>
      </c>
      <c r="C25" s="11">
        <v>0</v>
      </c>
      <c r="D25" s="12">
        <v>99020</v>
      </c>
      <c r="E25" s="193"/>
      <c r="F25" s="32">
        <v>19</v>
      </c>
      <c r="G25" s="318" t="s">
        <v>733</v>
      </c>
      <c r="H25" s="11">
        <v>0</v>
      </c>
      <c r="I25" s="12">
        <v>86765</v>
      </c>
      <c r="K25" s="32">
        <v>19</v>
      </c>
      <c r="L25" s="318" t="s">
        <v>714</v>
      </c>
      <c r="M25" s="11">
        <v>0</v>
      </c>
      <c r="N25" s="12">
        <v>2621400</v>
      </c>
      <c r="P25" s="32">
        <v>19</v>
      </c>
      <c r="Q25" s="318" t="s">
        <v>763</v>
      </c>
      <c r="R25" s="11">
        <v>64133</v>
      </c>
      <c r="S25" s="12">
        <v>0</v>
      </c>
      <c r="U25" s="32">
        <v>19</v>
      </c>
      <c r="V25" s="97" t="s">
        <v>775</v>
      </c>
      <c r="W25" s="11">
        <v>7000000</v>
      </c>
      <c r="X25" s="12">
        <v>0</v>
      </c>
    </row>
    <row r="26" spans="1:24" ht="16.95" customHeight="1" x14ac:dyDescent="0.3">
      <c r="A26" s="32">
        <v>20</v>
      </c>
      <c r="B26" s="318" t="s">
        <v>702</v>
      </c>
      <c r="C26" s="11">
        <v>8300</v>
      </c>
      <c r="D26" s="12">
        <v>0</v>
      </c>
      <c r="E26" s="193"/>
      <c r="F26" s="32">
        <v>20</v>
      </c>
      <c r="G26" s="318" t="s">
        <v>577</v>
      </c>
      <c r="H26" s="11">
        <v>14958702</v>
      </c>
      <c r="I26" s="12">
        <v>20958702</v>
      </c>
      <c r="K26" s="32">
        <v>20</v>
      </c>
      <c r="L26" s="318" t="s">
        <v>715</v>
      </c>
      <c r="M26" s="11">
        <v>500000</v>
      </c>
      <c r="N26" s="12">
        <v>0</v>
      </c>
      <c r="P26" s="32">
        <v>20</v>
      </c>
      <c r="Q26" s="318" t="s">
        <v>764</v>
      </c>
      <c r="R26" s="11">
        <v>290334</v>
      </c>
      <c r="S26" s="12">
        <v>0</v>
      </c>
      <c r="U26" s="32">
        <v>20</v>
      </c>
      <c r="V26" s="97" t="s">
        <v>697</v>
      </c>
      <c r="W26" s="11">
        <v>0</v>
      </c>
      <c r="X26" s="12">
        <v>2000000</v>
      </c>
    </row>
    <row r="27" spans="1:24" ht="16.95" customHeight="1" x14ac:dyDescent="0.3">
      <c r="A27" s="32">
        <v>21</v>
      </c>
      <c r="B27" s="318" t="s">
        <v>561</v>
      </c>
      <c r="C27" s="11">
        <v>96743</v>
      </c>
      <c r="D27" s="12">
        <v>0</v>
      </c>
      <c r="E27" s="193"/>
      <c r="F27" s="32">
        <v>21</v>
      </c>
      <c r="G27" s="318" t="s">
        <v>586</v>
      </c>
      <c r="H27" s="11">
        <v>238401</v>
      </c>
      <c r="I27" s="12">
        <v>0</v>
      </c>
      <c r="K27" s="32">
        <v>21</v>
      </c>
      <c r="L27" s="318" t="s">
        <v>645</v>
      </c>
      <c r="M27" s="11">
        <v>82832</v>
      </c>
      <c r="N27" s="12">
        <v>0</v>
      </c>
      <c r="P27" s="32">
        <v>21</v>
      </c>
      <c r="Q27" s="318" t="s">
        <v>778</v>
      </c>
      <c r="R27" s="11">
        <v>35877847</v>
      </c>
      <c r="S27" s="12">
        <v>0</v>
      </c>
      <c r="U27" s="32">
        <v>21</v>
      </c>
      <c r="V27" s="97" t="s">
        <v>686</v>
      </c>
      <c r="W27" s="11">
        <v>0</v>
      </c>
      <c r="X27" s="12">
        <v>4811217</v>
      </c>
    </row>
    <row r="28" spans="1:24" ht="16.95" customHeight="1" x14ac:dyDescent="0.3">
      <c r="A28" s="32">
        <v>22</v>
      </c>
      <c r="B28" s="318" t="s">
        <v>560</v>
      </c>
      <c r="C28" s="11">
        <v>2418800</v>
      </c>
      <c r="D28" s="12">
        <v>0</v>
      </c>
      <c r="E28" s="193"/>
      <c r="F28" s="32">
        <v>22</v>
      </c>
      <c r="G28" s="318" t="s">
        <v>590</v>
      </c>
      <c r="H28" s="11">
        <v>5982083</v>
      </c>
      <c r="I28" s="12">
        <v>2861785</v>
      </c>
      <c r="K28" s="32">
        <v>22</v>
      </c>
      <c r="L28" s="318" t="s">
        <v>646</v>
      </c>
      <c r="M28" s="11">
        <v>5200</v>
      </c>
      <c r="N28" s="12">
        <v>0</v>
      </c>
      <c r="P28" s="32">
        <v>22</v>
      </c>
      <c r="Q28" s="318" t="s">
        <v>663</v>
      </c>
      <c r="R28" s="11">
        <v>96673973</v>
      </c>
      <c r="S28" s="12">
        <v>0</v>
      </c>
      <c r="U28" s="32">
        <v>22</v>
      </c>
      <c r="V28" s="97" t="s">
        <v>685</v>
      </c>
      <c r="W28" s="11">
        <v>10000000</v>
      </c>
      <c r="X28" s="12">
        <v>0</v>
      </c>
    </row>
    <row r="29" spans="1:24" ht="16.95" customHeight="1" x14ac:dyDescent="0.3">
      <c r="A29" s="32">
        <v>23</v>
      </c>
      <c r="B29" s="318" t="s">
        <v>558</v>
      </c>
      <c r="C29" s="11">
        <v>1750263</v>
      </c>
      <c r="D29" s="12">
        <v>0</v>
      </c>
      <c r="E29" s="193"/>
      <c r="F29" s="32">
        <v>23</v>
      </c>
      <c r="G29" s="318" t="s">
        <v>525</v>
      </c>
      <c r="H29" s="11">
        <v>744000</v>
      </c>
      <c r="I29" s="12">
        <v>0</v>
      </c>
      <c r="K29" s="32">
        <v>23</v>
      </c>
      <c r="L29" s="318" t="s">
        <v>508</v>
      </c>
      <c r="M29" s="11">
        <v>0</v>
      </c>
      <c r="N29" s="12">
        <v>30000</v>
      </c>
      <c r="P29" s="32">
        <v>23</v>
      </c>
      <c r="Q29" s="318" t="s">
        <v>664</v>
      </c>
      <c r="R29" s="11">
        <v>98314817</v>
      </c>
      <c r="S29" s="12">
        <v>0</v>
      </c>
      <c r="U29" s="32">
        <v>23</v>
      </c>
      <c r="V29" s="97" t="s">
        <v>698</v>
      </c>
      <c r="W29" s="11">
        <v>5600000</v>
      </c>
      <c r="X29" s="12">
        <v>663000</v>
      </c>
    </row>
    <row r="30" spans="1:24" ht="16.95" customHeight="1" x14ac:dyDescent="0.3">
      <c r="A30" s="32">
        <v>24</v>
      </c>
      <c r="B30" s="318" t="s">
        <v>555</v>
      </c>
      <c r="C30" s="11">
        <v>37808</v>
      </c>
      <c r="D30" s="12">
        <v>0</v>
      </c>
      <c r="E30" s="193"/>
      <c r="F30" s="32">
        <v>24</v>
      </c>
      <c r="G30" s="318" t="s">
        <v>574</v>
      </c>
      <c r="H30" s="11">
        <v>7021145</v>
      </c>
      <c r="I30" s="12">
        <v>1796291</v>
      </c>
      <c r="K30" s="32">
        <v>24</v>
      </c>
      <c r="L30" s="318" t="s">
        <v>602</v>
      </c>
      <c r="M30" s="11">
        <v>50000</v>
      </c>
      <c r="N30" s="12">
        <v>0</v>
      </c>
      <c r="P30" s="32">
        <v>24</v>
      </c>
      <c r="Q30" s="318" t="s">
        <v>665</v>
      </c>
      <c r="R30" s="11">
        <v>190992</v>
      </c>
      <c r="S30" s="12">
        <v>5547477</v>
      </c>
      <c r="U30" s="32">
        <v>24</v>
      </c>
      <c r="V30" s="97" t="s">
        <v>684</v>
      </c>
      <c r="W30" s="11">
        <v>2070</v>
      </c>
      <c r="X30" s="12">
        <v>0</v>
      </c>
    </row>
    <row r="31" spans="1:24" ht="16.95" customHeight="1" x14ac:dyDescent="0.3">
      <c r="A31" s="32">
        <v>25</v>
      </c>
      <c r="B31" s="318" t="s">
        <v>554</v>
      </c>
      <c r="C31" s="11">
        <v>0</v>
      </c>
      <c r="D31" s="12">
        <v>2980505</v>
      </c>
      <c r="E31" s="193"/>
      <c r="F31" s="32">
        <v>25</v>
      </c>
      <c r="G31" s="318" t="s">
        <v>575</v>
      </c>
      <c r="H31" s="11">
        <v>18900</v>
      </c>
      <c r="I31" s="12">
        <v>0</v>
      </c>
      <c r="K31" s="32">
        <v>25</v>
      </c>
      <c r="L31" s="318" t="s">
        <v>603</v>
      </c>
      <c r="M31" s="11">
        <v>0</v>
      </c>
      <c r="N31" s="12">
        <v>5657</v>
      </c>
      <c r="P31" s="32">
        <v>25</v>
      </c>
      <c r="Q31" s="318" t="s">
        <v>666</v>
      </c>
      <c r="R31" s="11">
        <v>25128</v>
      </c>
      <c r="S31" s="12">
        <v>0</v>
      </c>
      <c r="U31" s="32">
        <v>25</v>
      </c>
      <c r="V31" s="97" t="s">
        <v>683</v>
      </c>
      <c r="W31" s="11">
        <v>0</v>
      </c>
      <c r="X31" s="12">
        <v>135000</v>
      </c>
    </row>
    <row r="32" spans="1:24" ht="16.95" customHeight="1" x14ac:dyDescent="0.3">
      <c r="A32" s="32">
        <v>26</v>
      </c>
      <c r="B32" s="318" t="s">
        <v>700</v>
      </c>
      <c r="C32" s="11">
        <v>0</v>
      </c>
      <c r="D32" s="12">
        <v>4400</v>
      </c>
      <c r="E32" s="193"/>
      <c r="F32" s="32">
        <v>26</v>
      </c>
      <c r="G32" s="318" t="s">
        <v>644</v>
      </c>
      <c r="H32" s="11">
        <v>0</v>
      </c>
      <c r="I32" s="12">
        <v>6658727</v>
      </c>
      <c r="K32" s="32">
        <v>26</v>
      </c>
      <c r="L32" s="318" t="s">
        <v>604</v>
      </c>
      <c r="M32" s="11">
        <v>250000</v>
      </c>
      <c r="N32" s="12">
        <v>0</v>
      </c>
      <c r="P32" s="32">
        <v>26</v>
      </c>
      <c r="Q32" s="318" t="s">
        <v>667</v>
      </c>
      <c r="R32" s="11">
        <v>0</v>
      </c>
      <c r="S32" s="12">
        <v>1048900</v>
      </c>
      <c r="U32" s="32">
        <v>26</v>
      </c>
      <c r="V32" s="97" t="s">
        <v>699</v>
      </c>
      <c r="W32" s="11">
        <v>0</v>
      </c>
      <c r="X32" s="12">
        <v>1902152</v>
      </c>
    </row>
    <row r="33" spans="1:24" ht="16.95" customHeight="1" x14ac:dyDescent="0.3">
      <c r="A33" s="32">
        <v>27</v>
      </c>
      <c r="B33" s="318" t="s">
        <v>553</v>
      </c>
      <c r="C33" s="11">
        <v>0</v>
      </c>
      <c r="D33" s="12">
        <v>2855448</v>
      </c>
      <c r="E33" s="193"/>
      <c r="F33" s="32">
        <v>27</v>
      </c>
      <c r="G33" s="318" t="s">
        <v>568</v>
      </c>
      <c r="H33" s="11">
        <v>23107</v>
      </c>
      <c r="I33" s="12">
        <v>0</v>
      </c>
      <c r="K33" s="32">
        <v>27</v>
      </c>
      <c r="L33" s="318" t="s">
        <v>605</v>
      </c>
      <c r="M33" s="11">
        <v>0</v>
      </c>
      <c r="N33" s="12">
        <v>21989412</v>
      </c>
      <c r="P33" s="32">
        <v>27</v>
      </c>
      <c r="Q33" s="318" t="s">
        <v>668</v>
      </c>
      <c r="R33" s="11">
        <v>16977788</v>
      </c>
      <c r="S33" s="12">
        <v>15041347</v>
      </c>
      <c r="U33" s="32">
        <v>27</v>
      </c>
      <c r="V33" s="97" t="s">
        <v>720</v>
      </c>
      <c r="W33" s="11">
        <v>0</v>
      </c>
      <c r="X33" s="12">
        <v>500000</v>
      </c>
    </row>
    <row r="34" spans="1:24" ht="16.95" customHeight="1" x14ac:dyDescent="0.3">
      <c r="A34" s="32">
        <v>28</v>
      </c>
      <c r="B34" s="318" t="s">
        <v>551</v>
      </c>
      <c r="C34" s="11">
        <v>228400</v>
      </c>
      <c r="D34" s="12">
        <v>0</v>
      </c>
      <c r="E34" s="193"/>
      <c r="F34" s="32">
        <v>28</v>
      </c>
      <c r="G34" s="318" t="s">
        <v>572</v>
      </c>
      <c r="H34" s="11">
        <v>9048000</v>
      </c>
      <c r="I34" s="12">
        <v>0</v>
      </c>
      <c r="K34" s="32">
        <v>28</v>
      </c>
      <c r="L34" s="318" t="s">
        <v>606</v>
      </c>
      <c r="M34" s="11">
        <v>4997354</v>
      </c>
      <c r="N34" s="12">
        <v>0</v>
      </c>
      <c r="P34" s="32">
        <v>28</v>
      </c>
      <c r="Q34" s="318" t="s">
        <v>765</v>
      </c>
      <c r="R34" s="11">
        <v>0</v>
      </c>
      <c r="S34" s="12">
        <v>619950</v>
      </c>
      <c r="U34" s="32">
        <v>28</v>
      </c>
      <c r="V34" s="97" t="s">
        <v>719</v>
      </c>
      <c r="W34" s="11">
        <v>0</v>
      </c>
      <c r="X34" s="12">
        <v>1335118</v>
      </c>
    </row>
    <row r="35" spans="1:24" ht="16.95" customHeight="1" x14ac:dyDescent="0.3">
      <c r="A35" s="32">
        <v>29</v>
      </c>
      <c r="B35" s="318" t="s">
        <v>550</v>
      </c>
      <c r="C35" s="11">
        <v>6866</v>
      </c>
      <c r="D35" s="12">
        <v>0</v>
      </c>
      <c r="E35" s="193"/>
      <c r="F35" s="32">
        <v>29</v>
      </c>
      <c r="G35" s="318" t="s">
        <v>571</v>
      </c>
      <c r="H35" s="11">
        <v>4010430</v>
      </c>
      <c r="I35" s="12">
        <v>0</v>
      </c>
      <c r="K35" s="32">
        <v>29</v>
      </c>
      <c r="L35" s="318" t="s">
        <v>507</v>
      </c>
      <c r="M35" s="11">
        <v>0</v>
      </c>
      <c r="N35" s="12">
        <v>73157</v>
      </c>
      <c r="P35" s="32">
        <v>29</v>
      </c>
      <c r="Q35" s="318" t="s">
        <v>766</v>
      </c>
      <c r="R35" s="11">
        <v>0</v>
      </c>
      <c r="S35" s="12">
        <v>4633664</v>
      </c>
      <c r="U35" s="32">
        <v>29</v>
      </c>
      <c r="V35" s="97" t="s">
        <v>727</v>
      </c>
      <c r="W35" s="11">
        <v>0</v>
      </c>
      <c r="X35" s="12">
        <v>120000</v>
      </c>
    </row>
    <row r="36" spans="1:24" ht="16.95" customHeight="1" x14ac:dyDescent="0.3">
      <c r="A36" s="32">
        <v>30</v>
      </c>
      <c r="B36" s="318" t="s">
        <v>549</v>
      </c>
      <c r="C36" s="11">
        <v>0</v>
      </c>
      <c r="D36" s="12">
        <v>17417404</v>
      </c>
      <c r="E36" s="193"/>
      <c r="F36" s="32">
        <v>30</v>
      </c>
      <c r="G36" s="318" t="s">
        <v>542</v>
      </c>
      <c r="H36" s="11">
        <v>36260310</v>
      </c>
      <c r="I36" s="12">
        <v>4664940</v>
      </c>
      <c r="K36" s="32">
        <v>30</v>
      </c>
      <c r="L36" s="318" t="s">
        <v>607</v>
      </c>
      <c r="M36" s="11">
        <v>12119104</v>
      </c>
      <c r="N36" s="12">
        <v>0</v>
      </c>
      <c r="P36" s="32">
        <v>30</v>
      </c>
      <c r="Q36" s="318" t="s">
        <v>767</v>
      </c>
      <c r="R36" s="11">
        <v>0</v>
      </c>
      <c r="S36" s="12">
        <v>423000</v>
      </c>
      <c r="U36" s="32">
        <v>30</v>
      </c>
      <c r="V36" s="97" t="s">
        <v>728</v>
      </c>
      <c r="W36" s="11">
        <v>0</v>
      </c>
      <c r="X36" s="12">
        <v>150000</v>
      </c>
    </row>
    <row r="37" spans="1:24" ht="16.95" customHeight="1" thickBot="1" x14ac:dyDescent="0.35">
      <c r="A37" s="32">
        <v>31</v>
      </c>
      <c r="B37" s="318" t="s">
        <v>548</v>
      </c>
      <c r="C37" s="11">
        <v>44231</v>
      </c>
      <c r="D37" s="12">
        <v>44231</v>
      </c>
      <c r="E37" s="193"/>
      <c r="F37" s="319"/>
      <c r="G37" s="98" t="s">
        <v>18</v>
      </c>
      <c r="H37" s="320">
        <f>SUM(H7:H36)</f>
        <v>121985514</v>
      </c>
      <c r="I37" s="321">
        <f>SUM(I7:I36)</f>
        <v>42743148</v>
      </c>
      <c r="K37" s="32">
        <v>31</v>
      </c>
      <c r="L37" s="318" t="s">
        <v>608</v>
      </c>
      <c r="M37" s="11">
        <v>37037</v>
      </c>
      <c r="N37" s="12">
        <v>1850137</v>
      </c>
      <c r="P37" s="32">
        <v>31</v>
      </c>
      <c r="Q37" s="318" t="s">
        <v>669</v>
      </c>
      <c r="R37" s="11">
        <v>12894384</v>
      </c>
      <c r="S37" s="12">
        <v>21394384</v>
      </c>
      <c r="U37" s="32">
        <v>31</v>
      </c>
      <c r="V37" s="97" t="s">
        <v>813</v>
      </c>
      <c r="W37" s="183">
        <v>500000</v>
      </c>
      <c r="X37" s="262">
        <v>0</v>
      </c>
    </row>
    <row r="38" spans="1:24" ht="16.95" customHeight="1" thickTop="1" thickBot="1" x14ac:dyDescent="0.35">
      <c r="A38" s="32">
        <v>32</v>
      </c>
      <c r="B38" s="318" t="s">
        <v>547</v>
      </c>
      <c r="C38" s="11">
        <v>6569</v>
      </c>
      <c r="D38" s="12">
        <v>0</v>
      </c>
      <c r="E38" s="193"/>
      <c r="F38" s="36"/>
      <c r="G38" s="322"/>
      <c r="H38" s="322"/>
      <c r="I38" s="323"/>
      <c r="K38" s="32">
        <v>32</v>
      </c>
      <c r="L38" s="318" t="s">
        <v>609</v>
      </c>
      <c r="M38" s="11">
        <v>1758328</v>
      </c>
      <c r="N38" s="12">
        <v>0</v>
      </c>
      <c r="P38" s="32">
        <v>32</v>
      </c>
      <c r="Q38" s="318" t="s">
        <v>670</v>
      </c>
      <c r="R38" s="11">
        <v>0</v>
      </c>
      <c r="S38" s="12">
        <v>373482</v>
      </c>
      <c r="U38" s="32">
        <v>32</v>
      </c>
      <c r="V38" s="97" t="s">
        <v>814</v>
      </c>
      <c r="W38" s="183">
        <v>140000</v>
      </c>
      <c r="X38" s="262">
        <v>0</v>
      </c>
    </row>
    <row r="39" spans="1:24" ht="16.95" customHeight="1" x14ac:dyDescent="0.3">
      <c r="A39" s="32">
        <v>33</v>
      </c>
      <c r="B39" s="318" t="s">
        <v>701</v>
      </c>
      <c r="C39" s="11">
        <v>0</v>
      </c>
      <c r="D39" s="12">
        <v>14892</v>
      </c>
      <c r="E39" s="193"/>
      <c r="F39" s="193"/>
      <c r="G39" s="193"/>
      <c r="H39" s="193"/>
      <c r="I39" s="193"/>
      <c r="K39" s="32">
        <v>33</v>
      </c>
      <c r="L39" s="318" t="s">
        <v>610</v>
      </c>
      <c r="M39" s="11">
        <v>3500</v>
      </c>
      <c r="N39" s="12">
        <v>0</v>
      </c>
      <c r="P39" s="32">
        <v>33</v>
      </c>
      <c r="Q39" s="318" t="s">
        <v>671</v>
      </c>
      <c r="R39" s="11">
        <v>0</v>
      </c>
      <c r="S39" s="12">
        <v>755030</v>
      </c>
      <c r="U39" s="32">
        <v>33</v>
      </c>
      <c r="V39" s="97" t="s">
        <v>760</v>
      </c>
      <c r="W39" s="183">
        <v>5600000</v>
      </c>
      <c r="X39" s="262">
        <v>0</v>
      </c>
    </row>
    <row r="40" spans="1:24" ht="16.95" customHeight="1" x14ac:dyDescent="0.3">
      <c r="A40" s="32">
        <v>34</v>
      </c>
      <c r="B40" s="318" t="s">
        <v>546</v>
      </c>
      <c r="C40" s="11">
        <v>0</v>
      </c>
      <c r="D40" s="12">
        <v>46187</v>
      </c>
      <c r="E40" s="193"/>
      <c r="F40" s="193"/>
      <c r="G40" s="193"/>
      <c r="H40" s="193" t="s">
        <v>7</v>
      </c>
      <c r="I40" s="193" t="s">
        <v>7</v>
      </c>
      <c r="K40" s="32">
        <v>34</v>
      </c>
      <c r="L40" s="318" t="s">
        <v>611</v>
      </c>
      <c r="M40" s="11">
        <v>100000</v>
      </c>
      <c r="N40" s="12">
        <v>0</v>
      </c>
      <c r="P40" s="32">
        <v>34</v>
      </c>
      <c r="Q40" s="318" t="s">
        <v>768</v>
      </c>
      <c r="R40" s="11">
        <v>0</v>
      </c>
      <c r="S40" s="12">
        <v>43558</v>
      </c>
      <c r="U40" s="319"/>
      <c r="V40" s="97"/>
      <c r="W40" s="183"/>
      <c r="X40" s="262"/>
    </row>
    <row r="41" spans="1:24" ht="16.95" customHeight="1" thickBot="1" x14ac:dyDescent="0.35">
      <c r="A41" s="32">
        <v>35</v>
      </c>
      <c r="B41" s="318" t="s">
        <v>545</v>
      </c>
      <c r="C41" s="11">
        <v>0</v>
      </c>
      <c r="D41" s="12">
        <v>43659</v>
      </c>
      <c r="E41" s="193"/>
      <c r="F41" s="193"/>
      <c r="G41" s="193"/>
      <c r="H41" s="193" t="s">
        <v>7</v>
      </c>
      <c r="I41" s="193" t="s">
        <v>7</v>
      </c>
      <c r="K41" s="32">
        <v>35</v>
      </c>
      <c r="L41" s="318" t="s">
        <v>647</v>
      </c>
      <c r="M41" s="11">
        <v>244658</v>
      </c>
      <c r="N41" s="12">
        <v>0</v>
      </c>
      <c r="P41" s="32">
        <v>35</v>
      </c>
      <c r="Q41" s="318" t="s">
        <v>672</v>
      </c>
      <c r="R41" s="11">
        <v>0</v>
      </c>
      <c r="S41" s="12">
        <v>12426297</v>
      </c>
      <c r="U41" s="319"/>
      <c r="V41" s="98" t="s">
        <v>18</v>
      </c>
      <c r="W41" s="263">
        <f>SUM(W7:W40)</f>
        <v>86306370</v>
      </c>
      <c r="X41" s="264">
        <f>SUM(X7:X40)</f>
        <v>118766471</v>
      </c>
    </row>
    <row r="42" spans="1:24" ht="16.95" customHeight="1" thickTop="1" thickBot="1" x14ac:dyDescent="0.35">
      <c r="A42" s="32">
        <v>36</v>
      </c>
      <c r="B42" s="318" t="s">
        <v>544</v>
      </c>
      <c r="C42" s="11">
        <v>10395</v>
      </c>
      <c r="D42" s="12">
        <v>0</v>
      </c>
      <c r="E42" s="193"/>
      <c r="F42" s="193"/>
      <c r="G42" s="193"/>
      <c r="H42" s="193"/>
      <c r="I42" s="193" t="s">
        <v>7</v>
      </c>
      <c r="K42" s="32">
        <v>36</v>
      </c>
      <c r="L42" s="318" t="s">
        <v>716</v>
      </c>
      <c r="M42" s="11">
        <v>0</v>
      </c>
      <c r="N42" s="12">
        <v>3321</v>
      </c>
      <c r="P42" s="32">
        <v>36</v>
      </c>
      <c r="Q42" s="318" t="s">
        <v>673</v>
      </c>
      <c r="R42" s="11">
        <v>16500000</v>
      </c>
      <c r="S42" s="12">
        <v>0</v>
      </c>
      <c r="U42" s="36"/>
      <c r="V42" s="322"/>
      <c r="W42" s="265"/>
      <c r="X42" s="266"/>
    </row>
    <row r="43" spans="1:24" ht="16.95" customHeight="1" x14ac:dyDescent="0.3">
      <c r="A43" s="32">
        <v>37</v>
      </c>
      <c r="B43" s="318" t="s">
        <v>543</v>
      </c>
      <c r="C43" s="11">
        <v>2554</v>
      </c>
      <c r="D43" s="12">
        <v>0</v>
      </c>
      <c r="E43" s="193"/>
      <c r="F43" s="193"/>
      <c r="G43" s="193"/>
      <c r="H43" s="193"/>
      <c r="I43" s="193" t="s">
        <v>7</v>
      </c>
      <c r="K43" s="32">
        <v>37</v>
      </c>
      <c r="L43" s="318" t="s">
        <v>717</v>
      </c>
      <c r="M43" s="11">
        <v>122066</v>
      </c>
      <c r="N43" s="12">
        <v>17830</v>
      </c>
      <c r="P43" s="32">
        <v>37</v>
      </c>
      <c r="Q43" s="318" t="s">
        <v>674</v>
      </c>
      <c r="R43" s="11">
        <v>23916898</v>
      </c>
      <c r="S43" s="12">
        <v>0</v>
      </c>
      <c r="W43" s="241" t="s">
        <v>7</v>
      </c>
      <c r="X43" s="241"/>
    </row>
    <row r="44" spans="1:24" ht="16.95" customHeight="1" x14ac:dyDescent="0.3">
      <c r="A44" s="32">
        <v>38</v>
      </c>
      <c r="B44" s="318" t="s">
        <v>703</v>
      </c>
      <c r="C44" s="11">
        <v>126260</v>
      </c>
      <c r="D44" s="12">
        <v>0</v>
      </c>
      <c r="E44" s="193"/>
      <c r="F44" s="193"/>
      <c r="G44" s="193"/>
      <c r="H44" s="193"/>
      <c r="I44" s="193"/>
      <c r="K44" s="32">
        <v>38</v>
      </c>
      <c r="L44" s="318" t="s">
        <v>718</v>
      </c>
      <c r="M44" s="11">
        <v>500000</v>
      </c>
      <c r="N44" s="12">
        <v>0</v>
      </c>
      <c r="P44" s="32">
        <v>38</v>
      </c>
      <c r="Q44" s="318" t="s">
        <v>675</v>
      </c>
      <c r="R44" s="11">
        <v>1557251</v>
      </c>
      <c r="S44" s="12">
        <v>0</v>
      </c>
      <c r="W44" s="241"/>
      <c r="X44" s="241"/>
    </row>
    <row r="45" spans="1:24" ht="16.95" customHeight="1" x14ac:dyDescent="0.3">
      <c r="A45" s="32">
        <v>39</v>
      </c>
      <c r="B45" s="318" t="s">
        <v>541</v>
      </c>
      <c r="C45" s="11">
        <v>8692</v>
      </c>
      <c r="D45" s="12">
        <v>0</v>
      </c>
      <c r="E45" s="193"/>
      <c r="F45" s="193"/>
      <c r="G45" s="193"/>
      <c r="H45" s="193"/>
      <c r="I45" s="193"/>
      <c r="K45" s="32">
        <v>39</v>
      </c>
      <c r="L45" s="318" t="s">
        <v>648</v>
      </c>
      <c r="M45" s="11">
        <v>10000</v>
      </c>
      <c r="N45" s="12">
        <v>0</v>
      </c>
      <c r="P45" s="32">
        <v>39</v>
      </c>
      <c r="Q45" s="318" t="s">
        <v>676</v>
      </c>
      <c r="R45" s="11">
        <v>29424212</v>
      </c>
      <c r="S45" s="12">
        <v>57072256</v>
      </c>
    </row>
    <row r="46" spans="1:24" ht="16.95" customHeight="1" x14ac:dyDescent="0.3">
      <c r="A46" s="32">
        <v>40</v>
      </c>
      <c r="B46" s="318" t="s">
        <v>540</v>
      </c>
      <c r="C46" s="11">
        <v>0</v>
      </c>
      <c r="D46" s="12">
        <v>15384</v>
      </c>
      <c r="E46" s="193"/>
      <c r="F46" s="193"/>
      <c r="G46" s="193"/>
      <c r="H46" s="193"/>
      <c r="I46" s="193"/>
      <c r="K46" s="32">
        <v>40</v>
      </c>
      <c r="L46" s="318" t="s">
        <v>734</v>
      </c>
      <c r="M46" s="11">
        <v>270000</v>
      </c>
      <c r="N46" s="12">
        <v>0</v>
      </c>
      <c r="P46" s="32">
        <v>40</v>
      </c>
      <c r="Q46" s="318" t="s">
        <v>677</v>
      </c>
      <c r="R46" s="11">
        <v>80304229</v>
      </c>
      <c r="S46" s="12">
        <v>0</v>
      </c>
    </row>
    <row r="47" spans="1:24" ht="16.95" customHeight="1" x14ac:dyDescent="0.3">
      <c r="A47" s="34" t="s">
        <v>7</v>
      </c>
      <c r="B47" s="31" t="s">
        <v>7</v>
      </c>
      <c r="C47" s="193" t="s">
        <v>7</v>
      </c>
      <c r="D47" s="193" t="s">
        <v>7</v>
      </c>
      <c r="E47" s="193" t="s">
        <v>7</v>
      </c>
      <c r="F47" s="193"/>
      <c r="G47" s="193"/>
      <c r="H47" s="193"/>
      <c r="I47" s="193"/>
      <c r="K47" s="32">
        <v>41</v>
      </c>
      <c r="L47" s="318" t="s">
        <v>735</v>
      </c>
      <c r="M47" s="11">
        <v>10000</v>
      </c>
      <c r="N47" s="12">
        <v>0</v>
      </c>
      <c r="P47" s="32">
        <v>41</v>
      </c>
      <c r="Q47" s="318" t="s">
        <v>769</v>
      </c>
      <c r="R47" s="11">
        <v>5999849</v>
      </c>
      <c r="S47" s="12">
        <v>21878850</v>
      </c>
    </row>
    <row r="48" spans="1:24" ht="16.95" customHeight="1" x14ac:dyDescent="0.3">
      <c r="A48" s="34"/>
      <c r="C48" s="193"/>
      <c r="D48" s="193"/>
      <c r="E48" s="193"/>
      <c r="F48" s="193"/>
      <c r="G48" s="193"/>
      <c r="H48" s="193"/>
      <c r="I48" s="193"/>
      <c r="K48" s="34"/>
      <c r="M48" s="193"/>
      <c r="N48" s="193"/>
      <c r="P48" s="34"/>
      <c r="R48" s="193"/>
      <c r="S48" s="193"/>
    </row>
    <row r="49" spans="1:22" ht="16.95" customHeight="1" x14ac:dyDescent="0.3">
      <c r="A49" s="364" t="s">
        <v>437</v>
      </c>
      <c r="B49" s="364"/>
      <c r="C49" s="364"/>
      <c r="D49" s="364"/>
      <c r="E49" s="193"/>
      <c r="F49" s="193"/>
      <c r="G49" s="193"/>
      <c r="H49" s="193"/>
      <c r="I49" s="193"/>
      <c r="P49" s="34"/>
      <c r="R49" s="193"/>
      <c r="S49" s="193"/>
    </row>
    <row r="50" spans="1:22" ht="16.95" customHeight="1" thickBot="1" x14ac:dyDescent="0.35">
      <c r="A50" s="426" t="s">
        <v>272</v>
      </c>
      <c r="B50" s="426"/>
      <c r="C50" s="426"/>
      <c r="D50" s="426"/>
      <c r="E50" s="193"/>
      <c r="F50" s="193"/>
      <c r="G50" s="193"/>
      <c r="H50" s="193"/>
      <c r="I50" s="193"/>
      <c r="K50" s="364" t="s">
        <v>437</v>
      </c>
      <c r="L50" s="364"/>
      <c r="M50" s="364"/>
      <c r="N50" s="364"/>
      <c r="P50" s="364" t="str">
        <f>+A1</f>
        <v>PROGEN RENEWABLES LIMITED</v>
      </c>
      <c r="Q50" s="364"/>
      <c r="R50" s="364"/>
      <c r="S50" s="364"/>
    </row>
    <row r="51" spans="1:22" ht="16.95" customHeight="1" thickBot="1" x14ac:dyDescent="0.35">
      <c r="A51" s="578" t="s">
        <v>474</v>
      </c>
      <c r="B51" s="578"/>
      <c r="C51" s="578"/>
      <c r="D51" s="578"/>
      <c r="E51" s="193"/>
      <c r="F51" s="193"/>
      <c r="G51" s="193"/>
      <c r="H51" s="193"/>
      <c r="I51" s="193"/>
      <c r="K51" s="426" t="s">
        <v>272</v>
      </c>
      <c r="L51" s="426"/>
      <c r="M51" s="426"/>
      <c r="N51" s="426"/>
      <c r="P51" s="426" t="str">
        <f>+A2</f>
        <v>Notes Forming Part of the Financial Statements for the year ended 31th March 2025</v>
      </c>
      <c r="Q51" s="426"/>
      <c r="R51" s="426"/>
      <c r="S51" s="426"/>
    </row>
    <row r="52" spans="1:22" ht="16.95" customHeight="1" x14ac:dyDescent="0.3">
      <c r="A52" s="34"/>
      <c r="C52" s="193"/>
      <c r="D52" s="193"/>
      <c r="E52" s="193"/>
      <c r="F52" s="193"/>
      <c r="G52" s="193"/>
      <c r="H52" s="193"/>
      <c r="I52" s="193"/>
      <c r="K52" s="364" t="s">
        <v>474</v>
      </c>
      <c r="L52" s="364"/>
      <c r="M52" s="364"/>
      <c r="N52" s="364"/>
      <c r="P52" s="364" t="e">
        <f>+A3</f>
        <v>#REF!</v>
      </c>
      <c r="Q52" s="364"/>
      <c r="R52" s="364"/>
      <c r="S52" s="364"/>
      <c r="V52" s="39" t="s">
        <v>7</v>
      </c>
    </row>
    <row r="53" spans="1:22" ht="16.95" customHeight="1" x14ac:dyDescent="0.3">
      <c r="A53" s="32">
        <v>41</v>
      </c>
      <c r="B53" s="318" t="s">
        <v>539</v>
      </c>
      <c r="C53" s="11">
        <v>5959</v>
      </c>
      <c r="D53" s="12">
        <v>0</v>
      </c>
      <c r="E53" s="193"/>
      <c r="F53" s="193"/>
      <c r="G53" s="193"/>
      <c r="H53" s="193"/>
      <c r="I53" s="193"/>
      <c r="K53" s="34"/>
      <c r="M53" s="193"/>
      <c r="N53" s="193"/>
      <c r="P53" s="34"/>
      <c r="R53" s="193"/>
      <c r="S53" s="193"/>
      <c r="V53" s="40" t="s">
        <v>7</v>
      </c>
    </row>
    <row r="54" spans="1:22" ht="16.95" customHeight="1" x14ac:dyDescent="0.3">
      <c r="A54" s="32">
        <v>42</v>
      </c>
      <c r="B54" s="318" t="s">
        <v>538</v>
      </c>
      <c r="C54" s="11">
        <v>0</v>
      </c>
      <c r="D54" s="12">
        <v>2964676</v>
      </c>
      <c r="E54" s="193"/>
      <c r="F54" s="193"/>
      <c r="G54" s="193"/>
      <c r="H54" s="193"/>
      <c r="I54" s="193"/>
      <c r="K54" s="32">
        <v>42</v>
      </c>
      <c r="L54" s="318" t="s">
        <v>736</v>
      </c>
      <c r="M54" s="11">
        <v>0</v>
      </c>
      <c r="N54" s="12">
        <v>3000000</v>
      </c>
      <c r="P54" s="32">
        <v>42</v>
      </c>
      <c r="Q54" s="318" t="s">
        <v>678</v>
      </c>
      <c r="R54" s="11">
        <v>0</v>
      </c>
      <c r="S54" s="12">
        <v>1467250</v>
      </c>
    </row>
    <row r="55" spans="1:22" ht="16.95" customHeight="1" x14ac:dyDescent="0.3">
      <c r="A55" s="32">
        <v>43</v>
      </c>
      <c r="B55" s="318" t="s">
        <v>537</v>
      </c>
      <c r="C55" s="11">
        <v>0</v>
      </c>
      <c r="D55" s="12">
        <v>5895</v>
      </c>
      <c r="E55" s="193"/>
      <c r="F55" s="193"/>
      <c r="G55" s="193"/>
      <c r="H55" s="193"/>
      <c r="I55" s="193"/>
      <c r="K55" s="32">
        <v>43</v>
      </c>
      <c r="L55" s="318" t="s">
        <v>737</v>
      </c>
      <c r="M55" s="11">
        <v>245000</v>
      </c>
      <c r="N55" s="12">
        <v>0</v>
      </c>
      <c r="P55" s="32">
        <v>43</v>
      </c>
      <c r="Q55" s="318" t="s">
        <v>679</v>
      </c>
      <c r="R55" s="11">
        <v>0</v>
      </c>
      <c r="S55" s="12">
        <v>452484</v>
      </c>
    </row>
    <row r="56" spans="1:22" ht="16.95" customHeight="1" x14ac:dyDescent="0.3">
      <c r="A56" s="32">
        <v>44</v>
      </c>
      <c r="B56" s="318" t="s">
        <v>535</v>
      </c>
      <c r="C56" s="11">
        <v>0</v>
      </c>
      <c r="D56" s="12">
        <v>208000</v>
      </c>
      <c r="E56" s="193"/>
      <c r="F56" s="193"/>
      <c r="G56" s="193" t="s">
        <v>7</v>
      </c>
      <c r="H56" s="193"/>
      <c r="I56" s="193"/>
      <c r="K56" s="32">
        <v>44</v>
      </c>
      <c r="L56" s="318" t="s">
        <v>612</v>
      </c>
      <c r="M56" s="11">
        <v>0</v>
      </c>
      <c r="N56" s="12">
        <v>10000</v>
      </c>
      <c r="P56" s="32">
        <v>44</v>
      </c>
      <c r="Q56" s="318" t="s">
        <v>991</v>
      </c>
      <c r="R56" s="11">
        <v>43971831</v>
      </c>
      <c r="S56" s="12">
        <v>0</v>
      </c>
    </row>
    <row r="57" spans="1:22" ht="16.95" customHeight="1" x14ac:dyDescent="0.3">
      <c r="A57" s="32">
        <v>45</v>
      </c>
      <c r="B57" s="318" t="s">
        <v>533</v>
      </c>
      <c r="C57" s="11">
        <v>3921028</v>
      </c>
      <c r="D57" s="12">
        <v>0</v>
      </c>
      <c r="E57" s="193"/>
      <c r="F57" s="193"/>
      <c r="G57" s="193"/>
      <c r="H57" s="193"/>
      <c r="I57" s="193"/>
      <c r="K57" s="32">
        <v>45</v>
      </c>
      <c r="L57" s="318" t="s">
        <v>738</v>
      </c>
      <c r="M57" s="11">
        <v>72000</v>
      </c>
      <c r="N57" s="12">
        <v>0</v>
      </c>
      <c r="P57" s="32">
        <v>45</v>
      </c>
      <c r="Q57" s="318" t="s">
        <v>680</v>
      </c>
      <c r="R57" s="11">
        <v>1790375</v>
      </c>
      <c r="S57" s="12">
        <v>1790375</v>
      </c>
    </row>
    <row r="58" spans="1:22" ht="16.95" customHeight="1" x14ac:dyDescent="0.3">
      <c r="A58" s="32">
        <v>46</v>
      </c>
      <c r="B58" s="318" t="s">
        <v>531</v>
      </c>
      <c r="C58" s="11">
        <v>0</v>
      </c>
      <c r="D58" s="12">
        <v>17640</v>
      </c>
      <c r="E58" s="193"/>
      <c r="F58" s="193"/>
      <c r="G58" s="193"/>
      <c r="H58" s="193"/>
      <c r="I58" s="193"/>
      <c r="K58" s="32">
        <v>46</v>
      </c>
      <c r="L58" s="318" t="s">
        <v>739</v>
      </c>
      <c r="M58" s="11">
        <v>10000</v>
      </c>
      <c r="N58" s="12">
        <v>0</v>
      </c>
      <c r="P58" s="32">
        <v>46</v>
      </c>
      <c r="Q58" s="318" t="s">
        <v>770</v>
      </c>
      <c r="R58" s="11">
        <v>1150000</v>
      </c>
      <c r="S58" s="12">
        <v>1150000</v>
      </c>
    </row>
    <row r="59" spans="1:22" ht="16.95" customHeight="1" x14ac:dyDescent="0.3">
      <c r="A59" s="32">
        <v>47</v>
      </c>
      <c r="B59" s="318" t="s">
        <v>530</v>
      </c>
      <c r="C59" s="11">
        <v>39826100</v>
      </c>
      <c r="D59" s="12">
        <v>0</v>
      </c>
      <c r="E59" s="193"/>
      <c r="F59" s="193"/>
      <c r="G59" s="193"/>
      <c r="H59" s="193"/>
      <c r="I59" s="193"/>
      <c r="K59" s="32">
        <v>47</v>
      </c>
      <c r="L59" s="318" t="s">
        <v>613</v>
      </c>
      <c r="M59" s="11">
        <v>1068</v>
      </c>
      <c r="N59" s="12">
        <v>1068</v>
      </c>
      <c r="P59" s="32">
        <v>47</v>
      </c>
      <c r="Q59" s="318" t="s">
        <v>681</v>
      </c>
      <c r="R59" s="11">
        <v>11728155</v>
      </c>
      <c r="S59" s="12">
        <v>0</v>
      </c>
    </row>
    <row r="60" spans="1:22" ht="16.95" customHeight="1" x14ac:dyDescent="0.3">
      <c r="A60" s="32">
        <v>48</v>
      </c>
      <c r="B60" s="318" t="s">
        <v>529</v>
      </c>
      <c r="C60" s="11">
        <v>196</v>
      </c>
      <c r="D60" s="12">
        <v>0</v>
      </c>
      <c r="E60" s="193"/>
      <c r="F60" s="193"/>
      <c r="G60" s="193"/>
      <c r="H60" s="193"/>
      <c r="I60" s="193"/>
      <c r="K60" s="32">
        <v>48</v>
      </c>
      <c r="L60" s="318" t="s">
        <v>614</v>
      </c>
      <c r="M60" s="11">
        <v>151991</v>
      </c>
      <c r="N60" s="12">
        <v>53934</v>
      </c>
      <c r="P60" s="32">
        <v>48</v>
      </c>
      <c r="Q60" s="318" t="s">
        <v>771</v>
      </c>
      <c r="R60" s="11">
        <v>0</v>
      </c>
      <c r="S60" s="12">
        <v>36727100</v>
      </c>
    </row>
    <row r="61" spans="1:22" ht="16.95" customHeight="1" x14ac:dyDescent="0.3">
      <c r="A61" s="32">
        <v>49</v>
      </c>
      <c r="B61" s="318" t="s">
        <v>528</v>
      </c>
      <c r="C61" s="11">
        <v>26531</v>
      </c>
      <c r="D61" s="12">
        <v>0</v>
      </c>
      <c r="E61" s="193"/>
      <c r="F61" s="193"/>
      <c r="G61" s="193"/>
      <c r="H61" s="193"/>
      <c r="I61" s="193"/>
      <c r="K61" s="32">
        <v>49</v>
      </c>
      <c r="L61" s="318" t="s">
        <v>740</v>
      </c>
      <c r="M61" s="11">
        <v>100000</v>
      </c>
      <c r="N61" s="12">
        <v>0</v>
      </c>
      <c r="P61" s="32">
        <v>49</v>
      </c>
      <c r="Q61" s="324" t="s">
        <v>726</v>
      </c>
      <c r="R61" s="11">
        <v>41345355</v>
      </c>
      <c r="S61" s="12">
        <v>0</v>
      </c>
    </row>
    <row r="62" spans="1:22" ht="16.95" customHeight="1" x14ac:dyDescent="0.3">
      <c r="A62" s="32">
        <v>50</v>
      </c>
      <c r="B62" s="318" t="s">
        <v>527</v>
      </c>
      <c r="C62" s="11">
        <v>0</v>
      </c>
      <c r="D62" s="12">
        <v>41000</v>
      </c>
      <c r="E62" s="193"/>
      <c r="F62" s="193"/>
      <c r="G62" s="193"/>
      <c r="H62" s="193"/>
      <c r="I62" s="193"/>
      <c r="K62" s="32">
        <v>50</v>
      </c>
      <c r="L62" s="318" t="s">
        <v>730</v>
      </c>
      <c r="M62" s="11">
        <v>0</v>
      </c>
      <c r="N62" s="12">
        <v>1658443</v>
      </c>
      <c r="P62" s="32">
        <v>50</v>
      </c>
      <c r="Q62" s="324" t="s">
        <v>725</v>
      </c>
      <c r="R62" s="11">
        <v>33764555</v>
      </c>
      <c r="S62" s="12">
        <v>0</v>
      </c>
    </row>
    <row r="63" spans="1:22" ht="16.95" customHeight="1" x14ac:dyDescent="0.3">
      <c r="A63" s="32">
        <v>51</v>
      </c>
      <c r="B63" s="318" t="s">
        <v>526</v>
      </c>
      <c r="C63" s="11">
        <v>12150</v>
      </c>
      <c r="D63" s="12">
        <v>0</v>
      </c>
      <c r="E63" s="193"/>
      <c r="F63" s="193"/>
      <c r="G63" s="193"/>
      <c r="H63" s="193"/>
      <c r="I63" s="193"/>
      <c r="K63" s="32">
        <v>51</v>
      </c>
      <c r="L63" s="318" t="s">
        <v>510</v>
      </c>
      <c r="M63" s="11">
        <v>5143</v>
      </c>
      <c r="N63" s="12">
        <v>0</v>
      </c>
      <c r="P63" s="32">
        <v>51</v>
      </c>
      <c r="Q63" s="324" t="s">
        <v>690</v>
      </c>
      <c r="R63" s="11">
        <v>0</v>
      </c>
      <c r="S63" s="12">
        <v>3243966</v>
      </c>
    </row>
    <row r="64" spans="1:22" ht="16.95" customHeight="1" x14ac:dyDescent="0.3">
      <c r="A64" s="32">
        <v>52</v>
      </c>
      <c r="B64" s="318" t="s">
        <v>524</v>
      </c>
      <c r="C64" s="11">
        <v>0</v>
      </c>
      <c r="D64" s="12">
        <v>3267</v>
      </c>
      <c r="E64" s="193"/>
      <c r="F64" s="193"/>
      <c r="G64" s="193"/>
      <c r="H64" s="193"/>
      <c r="I64" s="193"/>
      <c r="K64" s="32">
        <v>52</v>
      </c>
      <c r="L64" s="318" t="s">
        <v>509</v>
      </c>
      <c r="M64" s="11">
        <v>7225</v>
      </c>
      <c r="N64" s="12">
        <v>0</v>
      </c>
      <c r="P64" s="32">
        <v>52</v>
      </c>
      <c r="Q64" s="324" t="s">
        <v>772</v>
      </c>
      <c r="R64" s="11">
        <v>26353855</v>
      </c>
      <c r="S64" s="12">
        <v>0</v>
      </c>
    </row>
    <row r="65" spans="1:22" ht="16.95" customHeight="1" x14ac:dyDescent="0.3">
      <c r="A65" s="32">
        <v>53</v>
      </c>
      <c r="B65" s="318" t="s">
        <v>523</v>
      </c>
      <c r="C65" s="11">
        <v>0</v>
      </c>
      <c r="D65" s="12">
        <v>8320</v>
      </c>
      <c r="E65" s="193"/>
      <c r="F65" s="193"/>
      <c r="G65" s="193"/>
      <c r="H65" s="193"/>
      <c r="I65" s="193"/>
      <c r="K65" s="32">
        <v>53</v>
      </c>
      <c r="L65" s="318" t="s">
        <v>615</v>
      </c>
      <c r="M65" s="11">
        <v>0</v>
      </c>
      <c r="N65" s="12">
        <v>87040</v>
      </c>
      <c r="P65" s="32">
        <v>53</v>
      </c>
      <c r="Q65" s="324" t="s">
        <v>692</v>
      </c>
      <c r="R65" s="11">
        <v>0</v>
      </c>
      <c r="S65" s="12">
        <v>12142857</v>
      </c>
      <c r="V65" s="39" t="s">
        <v>7</v>
      </c>
    </row>
    <row r="66" spans="1:22" ht="16.95" customHeight="1" x14ac:dyDescent="0.3">
      <c r="A66" s="32">
        <v>54</v>
      </c>
      <c r="B66" s="318" t="s">
        <v>522</v>
      </c>
      <c r="C66" s="11">
        <v>1504</v>
      </c>
      <c r="D66" s="12">
        <v>0</v>
      </c>
      <c r="E66" s="193"/>
      <c r="F66" s="193"/>
      <c r="G66" s="193"/>
      <c r="H66" s="193"/>
      <c r="I66" s="193"/>
      <c r="K66" s="32">
        <v>54</v>
      </c>
      <c r="L66" s="318" t="s">
        <v>741</v>
      </c>
      <c r="M66" s="11">
        <v>1500000</v>
      </c>
      <c r="N66" s="12">
        <v>0</v>
      </c>
      <c r="P66" s="32">
        <v>54</v>
      </c>
      <c r="Q66" s="324" t="s">
        <v>773</v>
      </c>
      <c r="R66" s="11">
        <v>15112758</v>
      </c>
      <c r="S66" s="12">
        <v>0</v>
      </c>
      <c r="V66" s="40" t="s">
        <v>7</v>
      </c>
    </row>
    <row r="67" spans="1:22" ht="16.95" customHeight="1" x14ac:dyDescent="0.3">
      <c r="A67" s="32">
        <v>55</v>
      </c>
      <c r="B67" s="318" t="s">
        <v>521</v>
      </c>
      <c r="C67" s="11">
        <v>860710</v>
      </c>
      <c r="D67" s="12">
        <v>1360710</v>
      </c>
      <c r="E67" s="193"/>
      <c r="F67" s="193"/>
      <c r="G67" s="193"/>
      <c r="H67" s="193"/>
      <c r="I67" s="193"/>
      <c r="K67" s="32">
        <v>55</v>
      </c>
      <c r="L67" s="318" t="s">
        <v>742</v>
      </c>
      <c r="M67" s="11">
        <v>50000</v>
      </c>
      <c r="N67" s="12">
        <v>0</v>
      </c>
      <c r="P67" s="319"/>
      <c r="Q67" s="324"/>
      <c r="R67" s="11"/>
      <c r="S67" s="12"/>
    </row>
    <row r="68" spans="1:22" ht="16.95" customHeight="1" thickBot="1" x14ac:dyDescent="0.35">
      <c r="A68" s="32">
        <v>56</v>
      </c>
      <c r="B68" s="318" t="s">
        <v>520</v>
      </c>
      <c r="C68" s="11">
        <v>0</v>
      </c>
      <c r="D68" s="12">
        <v>5901585</v>
      </c>
      <c r="E68" s="193"/>
      <c r="F68" s="193"/>
      <c r="G68" s="193"/>
      <c r="H68" s="193"/>
      <c r="I68" s="193"/>
      <c r="K68" s="32">
        <v>56</v>
      </c>
      <c r="L68" s="318" t="s">
        <v>743</v>
      </c>
      <c r="M68" s="11">
        <v>4762</v>
      </c>
      <c r="N68" s="12">
        <v>0</v>
      </c>
      <c r="P68" s="319"/>
      <c r="Q68" s="98" t="s">
        <v>18</v>
      </c>
      <c r="R68" s="13">
        <f>SUM(R7:R67)</f>
        <v>700374795</v>
      </c>
      <c r="S68" s="19">
        <f>SUM(S7:S67)</f>
        <v>246523964</v>
      </c>
    </row>
    <row r="69" spans="1:22" ht="16.95" customHeight="1" thickTop="1" thickBot="1" x14ac:dyDescent="0.35">
      <c r="A69" s="32">
        <v>57</v>
      </c>
      <c r="B69" s="318" t="s">
        <v>704</v>
      </c>
      <c r="C69" s="11">
        <v>5445</v>
      </c>
      <c r="D69" s="12">
        <v>14376</v>
      </c>
      <c r="E69" s="193"/>
      <c r="F69" s="193"/>
      <c r="G69" s="193"/>
      <c r="H69" s="193"/>
      <c r="I69" s="193"/>
      <c r="K69" s="32">
        <v>57</v>
      </c>
      <c r="L69" s="318" t="s">
        <v>744</v>
      </c>
      <c r="M69" s="11">
        <v>5054568</v>
      </c>
      <c r="N69" s="12">
        <v>0</v>
      </c>
      <c r="P69" s="36"/>
      <c r="Q69" s="325" t="s">
        <v>7</v>
      </c>
      <c r="R69" s="63" t="s">
        <v>7</v>
      </c>
      <c r="S69" s="117" t="s">
        <v>7</v>
      </c>
    </row>
    <row r="70" spans="1:22" ht="16.95" customHeight="1" x14ac:dyDescent="0.3">
      <c r="A70" s="32">
        <v>58</v>
      </c>
      <c r="B70" s="318" t="s">
        <v>519</v>
      </c>
      <c r="C70" s="11">
        <v>0</v>
      </c>
      <c r="D70" s="12">
        <v>5544</v>
      </c>
      <c r="E70" s="193"/>
      <c r="F70" s="193"/>
      <c r="G70" s="193"/>
      <c r="H70" s="193"/>
      <c r="I70" s="193"/>
      <c r="K70" s="32">
        <v>58</v>
      </c>
      <c r="L70" s="318" t="s">
        <v>616</v>
      </c>
      <c r="M70" s="11">
        <v>221</v>
      </c>
      <c r="N70" s="12">
        <v>0</v>
      </c>
    </row>
    <row r="71" spans="1:22" ht="16.95" customHeight="1" x14ac:dyDescent="0.3">
      <c r="A71" s="32">
        <v>59</v>
      </c>
      <c r="B71" s="318" t="s">
        <v>705</v>
      </c>
      <c r="C71" s="11">
        <v>0</v>
      </c>
      <c r="D71" s="12">
        <v>46134</v>
      </c>
      <c r="E71" s="193"/>
      <c r="F71" s="193"/>
      <c r="G71" s="193"/>
      <c r="H71" s="193"/>
      <c r="I71" s="193"/>
      <c r="K71" s="32">
        <v>59</v>
      </c>
      <c r="L71" s="318" t="s">
        <v>617</v>
      </c>
      <c r="M71" s="11">
        <v>1070</v>
      </c>
      <c r="N71" s="12">
        <v>0</v>
      </c>
      <c r="S71" s="40" t="s">
        <v>7</v>
      </c>
    </row>
    <row r="72" spans="1:22" ht="16.95" customHeight="1" x14ac:dyDescent="0.3">
      <c r="A72" s="32">
        <v>60</v>
      </c>
      <c r="B72" s="318" t="s">
        <v>518</v>
      </c>
      <c r="C72" s="11">
        <v>0</v>
      </c>
      <c r="D72" s="12">
        <v>46407</v>
      </c>
      <c r="E72" s="193"/>
      <c r="F72" s="193"/>
      <c r="G72" s="193"/>
      <c r="H72" s="193"/>
      <c r="I72" s="193"/>
      <c r="K72" s="32">
        <v>60</v>
      </c>
      <c r="L72" s="318" t="s">
        <v>650</v>
      </c>
      <c r="M72" s="11">
        <v>0</v>
      </c>
      <c r="N72" s="12">
        <v>925800</v>
      </c>
      <c r="S72" s="40" t="s">
        <v>7</v>
      </c>
    </row>
    <row r="73" spans="1:22" ht="16.95" customHeight="1" x14ac:dyDescent="0.3">
      <c r="A73" s="32">
        <v>61</v>
      </c>
      <c r="B73" s="318" t="s">
        <v>517</v>
      </c>
      <c r="C73" s="11">
        <v>886</v>
      </c>
      <c r="D73" s="12">
        <v>886</v>
      </c>
      <c r="E73" s="193"/>
      <c r="F73" s="193"/>
      <c r="G73" s="193"/>
      <c r="H73" s="193"/>
      <c r="I73" s="193"/>
      <c r="K73" s="32">
        <v>61</v>
      </c>
      <c r="L73" s="318" t="s">
        <v>618</v>
      </c>
      <c r="M73" s="11">
        <v>35000</v>
      </c>
      <c r="N73" s="12">
        <v>0</v>
      </c>
      <c r="S73" s="40" t="s">
        <v>7</v>
      </c>
    </row>
    <row r="74" spans="1:22" ht="16.95" customHeight="1" x14ac:dyDescent="0.3">
      <c r="A74" s="32">
        <v>62</v>
      </c>
      <c r="B74" s="318" t="s">
        <v>516</v>
      </c>
      <c r="C74" s="11">
        <v>5700</v>
      </c>
      <c r="D74" s="12">
        <v>0</v>
      </c>
      <c r="E74" s="193"/>
      <c r="F74" s="193"/>
      <c r="G74" s="193"/>
      <c r="H74" s="193"/>
      <c r="I74" s="193"/>
      <c r="K74" s="32">
        <v>62</v>
      </c>
      <c r="L74" s="318" t="s">
        <v>619</v>
      </c>
      <c r="M74" s="11">
        <v>0</v>
      </c>
      <c r="N74" s="12">
        <v>240000</v>
      </c>
      <c r="S74" s="40" t="s">
        <v>7</v>
      </c>
    </row>
    <row r="75" spans="1:22" ht="16.95" customHeight="1" x14ac:dyDescent="0.3">
      <c r="A75" s="32">
        <v>63</v>
      </c>
      <c r="B75" s="318" t="s">
        <v>515</v>
      </c>
      <c r="C75" s="11">
        <v>42693</v>
      </c>
      <c r="D75" s="12">
        <v>0</v>
      </c>
      <c r="E75" s="193"/>
      <c r="F75" s="193"/>
      <c r="G75" s="193"/>
      <c r="H75" s="193"/>
      <c r="I75" s="193"/>
      <c r="K75" s="32">
        <v>63</v>
      </c>
      <c r="L75" s="318" t="s">
        <v>620</v>
      </c>
      <c r="M75" s="11">
        <v>0</v>
      </c>
      <c r="N75" s="12">
        <v>300000</v>
      </c>
      <c r="S75" s="40" t="s">
        <v>7</v>
      </c>
    </row>
    <row r="76" spans="1:22" ht="16.95" customHeight="1" x14ac:dyDescent="0.3">
      <c r="A76" s="32">
        <v>64</v>
      </c>
      <c r="B76" s="318" t="s">
        <v>513</v>
      </c>
      <c r="C76" s="11">
        <v>0</v>
      </c>
      <c r="D76" s="12">
        <v>104</v>
      </c>
      <c r="E76" s="193"/>
      <c r="F76" s="193"/>
      <c r="G76" s="193"/>
      <c r="H76" s="193"/>
      <c r="I76" s="193"/>
      <c r="K76" s="32">
        <v>64</v>
      </c>
      <c r="L76" s="318" t="s">
        <v>621</v>
      </c>
      <c r="M76" s="11">
        <v>0</v>
      </c>
      <c r="N76" s="12">
        <v>125000</v>
      </c>
    </row>
    <row r="77" spans="1:22" ht="16.95" customHeight="1" x14ac:dyDescent="0.3">
      <c r="A77" s="32">
        <v>65</v>
      </c>
      <c r="B77" s="318" t="s">
        <v>706</v>
      </c>
      <c r="C77" s="11">
        <v>0</v>
      </c>
      <c r="D77" s="12">
        <v>5971769</v>
      </c>
      <c r="E77" s="193"/>
      <c r="F77" s="193"/>
      <c r="G77" s="193"/>
      <c r="H77" s="193"/>
      <c r="I77" s="193"/>
      <c r="K77" s="32">
        <v>65</v>
      </c>
      <c r="L77" s="318" t="s">
        <v>745</v>
      </c>
      <c r="M77" s="11">
        <v>90000</v>
      </c>
      <c r="N77" s="12">
        <v>0</v>
      </c>
    </row>
    <row r="78" spans="1:22" ht="16.95" customHeight="1" x14ac:dyDescent="0.3">
      <c r="A78" s="32">
        <v>66</v>
      </c>
      <c r="B78" s="318" t="s">
        <v>512</v>
      </c>
      <c r="C78" s="11">
        <v>0</v>
      </c>
      <c r="D78" s="12">
        <v>6571622</v>
      </c>
      <c r="E78" s="193"/>
      <c r="F78" s="193"/>
      <c r="G78" s="193"/>
      <c r="H78" s="193"/>
      <c r="I78" s="193"/>
      <c r="K78" s="32">
        <v>66</v>
      </c>
      <c r="L78" s="318" t="s">
        <v>622</v>
      </c>
      <c r="M78" s="11">
        <v>20000</v>
      </c>
      <c r="N78" s="12">
        <v>0</v>
      </c>
    </row>
    <row r="79" spans="1:22" ht="16.95" customHeight="1" x14ac:dyDescent="0.3">
      <c r="A79" s="32">
        <v>67</v>
      </c>
      <c r="B79" s="318" t="s">
        <v>511</v>
      </c>
      <c r="C79" s="11">
        <v>165973</v>
      </c>
      <c r="D79" s="12">
        <v>0</v>
      </c>
      <c r="E79" s="193"/>
      <c r="F79" s="193"/>
      <c r="G79" s="193"/>
      <c r="H79" s="193"/>
      <c r="I79" s="193"/>
      <c r="K79" s="32">
        <v>67</v>
      </c>
      <c r="L79" s="318" t="s">
        <v>623</v>
      </c>
      <c r="M79" s="11">
        <v>20932</v>
      </c>
      <c r="N79" s="12">
        <v>0</v>
      </c>
    </row>
    <row r="80" spans="1:22" ht="16.95" customHeight="1" x14ac:dyDescent="0.3">
      <c r="A80" s="32">
        <v>68</v>
      </c>
      <c r="B80" s="318" t="s">
        <v>510</v>
      </c>
      <c r="C80" s="11">
        <v>0</v>
      </c>
      <c r="D80" s="12">
        <v>4420452</v>
      </c>
      <c r="E80" s="193"/>
      <c r="F80" s="193"/>
      <c r="G80" s="193"/>
      <c r="H80" s="193"/>
      <c r="I80" s="193"/>
      <c r="K80" s="32">
        <v>68</v>
      </c>
      <c r="L80" s="318" t="s">
        <v>747</v>
      </c>
      <c r="M80" s="11">
        <v>5000000</v>
      </c>
      <c r="N80" s="12">
        <v>0</v>
      </c>
    </row>
    <row r="81" spans="1:14" ht="16.95" customHeight="1" x14ac:dyDescent="0.3">
      <c r="A81" s="32">
        <v>69</v>
      </c>
      <c r="B81" s="318" t="s">
        <v>509</v>
      </c>
      <c r="C81" s="11">
        <v>0</v>
      </c>
      <c r="D81" s="12">
        <v>4550229</v>
      </c>
      <c r="E81" s="193"/>
      <c r="F81" s="193"/>
      <c r="G81" s="193"/>
      <c r="H81" s="193"/>
      <c r="I81" s="193"/>
      <c r="K81" s="32">
        <v>69</v>
      </c>
      <c r="L81" s="318" t="s">
        <v>746</v>
      </c>
      <c r="M81" s="11">
        <v>0</v>
      </c>
      <c r="N81" s="12">
        <v>225485</v>
      </c>
    </row>
    <row r="82" spans="1:14" ht="16.95" customHeight="1" x14ac:dyDescent="0.3">
      <c r="A82" s="32">
        <v>70</v>
      </c>
      <c r="B82" s="318" t="s">
        <v>507</v>
      </c>
      <c r="C82" s="11">
        <v>95963</v>
      </c>
      <c r="D82" s="12">
        <v>0</v>
      </c>
      <c r="E82" s="193"/>
      <c r="F82" s="193"/>
      <c r="G82" s="193"/>
      <c r="H82" s="193"/>
      <c r="I82" s="193"/>
      <c r="K82" s="32">
        <v>70</v>
      </c>
      <c r="L82" s="318" t="s">
        <v>511</v>
      </c>
      <c r="M82" s="11">
        <v>0</v>
      </c>
      <c r="N82" s="12">
        <v>58637</v>
      </c>
    </row>
    <row r="83" spans="1:14" ht="16.95" customHeight="1" x14ac:dyDescent="0.3">
      <c r="A83" s="32">
        <v>71</v>
      </c>
      <c r="B83" s="318" t="s">
        <v>506</v>
      </c>
      <c r="C83" s="11">
        <v>21638</v>
      </c>
      <c r="D83" s="12">
        <v>0</v>
      </c>
      <c r="E83" s="193"/>
      <c r="F83" s="193"/>
      <c r="G83" s="193"/>
      <c r="H83" s="193"/>
      <c r="I83" s="193"/>
      <c r="K83" s="32">
        <v>71</v>
      </c>
      <c r="L83" s="318" t="s">
        <v>624</v>
      </c>
      <c r="M83" s="11">
        <v>0</v>
      </c>
      <c r="N83" s="12">
        <v>13746500</v>
      </c>
    </row>
    <row r="84" spans="1:14" ht="16.95" customHeight="1" x14ac:dyDescent="0.3">
      <c r="A84" s="32">
        <v>72</v>
      </c>
      <c r="B84" s="318" t="s">
        <v>595</v>
      </c>
      <c r="C84" s="11">
        <v>0</v>
      </c>
      <c r="D84" s="12">
        <v>21476</v>
      </c>
      <c r="E84" s="193"/>
      <c r="F84" s="193"/>
      <c r="G84" s="193"/>
      <c r="H84" s="193"/>
      <c r="I84" s="193"/>
      <c r="K84" s="32">
        <v>72</v>
      </c>
      <c r="L84" s="318" t="s">
        <v>625</v>
      </c>
      <c r="M84" s="11">
        <v>30000</v>
      </c>
      <c r="N84" s="12">
        <v>0</v>
      </c>
    </row>
    <row r="85" spans="1:14" ht="16.95" customHeight="1" x14ac:dyDescent="0.3">
      <c r="A85" s="32">
        <v>73</v>
      </c>
      <c r="B85" s="318" t="s">
        <v>953</v>
      </c>
      <c r="C85" s="11">
        <v>1414488</v>
      </c>
      <c r="D85" s="12">
        <v>0</v>
      </c>
      <c r="E85" s="193"/>
      <c r="F85" s="193"/>
      <c r="G85" s="193"/>
      <c r="H85" s="193"/>
      <c r="I85" s="193"/>
      <c r="K85" s="32">
        <v>73</v>
      </c>
      <c r="L85" s="318" t="s">
        <v>752</v>
      </c>
      <c r="M85" s="11">
        <v>500000</v>
      </c>
      <c r="N85" s="12">
        <v>0</v>
      </c>
    </row>
    <row r="86" spans="1:14" ht="16.95" customHeight="1" x14ac:dyDescent="0.3">
      <c r="A86" s="32">
        <v>74</v>
      </c>
      <c r="B86" s="318" t="s">
        <v>811</v>
      </c>
      <c r="C86" s="11">
        <v>8660</v>
      </c>
      <c r="D86" s="12">
        <v>0</v>
      </c>
      <c r="E86" s="193"/>
      <c r="F86" s="193"/>
      <c r="G86" s="193"/>
      <c r="H86" s="193"/>
      <c r="I86" s="193"/>
      <c r="K86" s="32">
        <v>74</v>
      </c>
      <c r="L86" s="318" t="s">
        <v>751</v>
      </c>
      <c r="M86" s="11">
        <v>1000000</v>
      </c>
      <c r="N86" s="12">
        <v>0</v>
      </c>
    </row>
    <row r="87" spans="1:14" ht="16.95" customHeight="1" x14ac:dyDescent="0.3">
      <c r="A87" s="32">
        <v>75</v>
      </c>
      <c r="B87" s="318" t="s">
        <v>622</v>
      </c>
      <c r="C87" s="11">
        <v>25960</v>
      </c>
      <c r="D87" s="12">
        <v>0</v>
      </c>
      <c r="E87" s="193"/>
      <c r="F87" s="193"/>
      <c r="G87" s="193"/>
      <c r="H87" s="193"/>
      <c r="I87" s="193"/>
      <c r="K87" s="32">
        <v>75</v>
      </c>
      <c r="L87" s="318" t="s">
        <v>750</v>
      </c>
      <c r="M87" s="11">
        <v>500000</v>
      </c>
      <c r="N87" s="12">
        <v>0</v>
      </c>
    </row>
    <row r="88" spans="1:14" ht="16.95" customHeight="1" x14ac:dyDescent="0.3">
      <c r="A88" s="32">
        <v>76</v>
      </c>
      <c r="B88" s="318" t="s">
        <v>812</v>
      </c>
      <c r="C88" s="11">
        <v>389400</v>
      </c>
      <c r="D88" s="12">
        <v>0</v>
      </c>
      <c r="E88" s="254"/>
      <c r="F88" s="193"/>
      <c r="G88" s="193"/>
      <c r="H88" s="193"/>
      <c r="I88" s="193"/>
      <c r="K88" s="32">
        <v>76</v>
      </c>
      <c r="L88" s="318" t="s">
        <v>749</v>
      </c>
      <c r="M88" s="11">
        <v>50000</v>
      </c>
      <c r="N88" s="12">
        <v>0</v>
      </c>
    </row>
    <row r="89" spans="1:14" ht="16.95" customHeight="1" thickBot="1" x14ac:dyDescent="0.35">
      <c r="A89" s="32" t="s">
        <v>7</v>
      </c>
      <c r="B89" s="98" t="s">
        <v>18</v>
      </c>
      <c r="C89" s="320">
        <f>SUM(C7:C88)</f>
        <v>83508575</v>
      </c>
      <c r="D89" s="321">
        <f>SUM(D7:D88)</f>
        <v>77830318</v>
      </c>
      <c r="F89" s="254"/>
      <c r="G89" s="254"/>
      <c r="H89" s="254"/>
      <c r="I89" s="254"/>
      <c r="K89" s="32">
        <v>77</v>
      </c>
      <c r="L89" s="318" t="s">
        <v>748</v>
      </c>
      <c r="M89" s="11">
        <v>100000</v>
      </c>
      <c r="N89" s="12">
        <v>0</v>
      </c>
    </row>
    <row r="90" spans="1:14" ht="16.95" customHeight="1" thickTop="1" thickBot="1" x14ac:dyDescent="0.35">
      <c r="A90" s="33" t="s">
        <v>7</v>
      </c>
      <c r="B90" s="322"/>
      <c r="C90" s="322"/>
      <c r="D90" s="323"/>
      <c r="K90" s="32">
        <v>78</v>
      </c>
      <c r="L90" s="318" t="s">
        <v>626</v>
      </c>
      <c r="M90" s="11">
        <v>0</v>
      </c>
      <c r="N90" s="12">
        <v>794</v>
      </c>
    </row>
    <row r="91" spans="1:14" ht="16.95" customHeight="1" x14ac:dyDescent="0.3">
      <c r="D91" s="40" t="s">
        <v>7</v>
      </c>
      <c r="E91" s="122"/>
      <c r="K91" s="32">
        <v>79</v>
      </c>
      <c r="L91" s="318" t="s">
        <v>627</v>
      </c>
      <c r="M91" s="11">
        <v>0</v>
      </c>
      <c r="N91" s="12">
        <v>4128455</v>
      </c>
    </row>
    <row r="92" spans="1:14" ht="16.95" customHeight="1" x14ac:dyDescent="0.3">
      <c r="C92" s="40" t="s">
        <v>7</v>
      </c>
      <c r="D92" s="40" t="s">
        <v>7</v>
      </c>
      <c r="E92" s="193"/>
      <c r="F92" s="122"/>
      <c r="G92" s="122"/>
      <c r="H92" s="122"/>
      <c r="I92" s="122"/>
      <c r="K92" s="32">
        <v>80</v>
      </c>
      <c r="L92" s="318" t="s">
        <v>628</v>
      </c>
      <c r="M92" s="11">
        <v>0</v>
      </c>
      <c r="N92" s="12">
        <v>3764243</v>
      </c>
    </row>
    <row r="93" spans="1:14" ht="16.95" customHeight="1" x14ac:dyDescent="0.3">
      <c r="D93" s="40" t="s">
        <v>7</v>
      </c>
      <c r="E93" s="193"/>
      <c r="F93" s="193"/>
      <c r="G93" s="193"/>
      <c r="H93" s="193"/>
      <c r="I93" s="193"/>
      <c r="K93" s="32">
        <v>81</v>
      </c>
      <c r="L93" s="318" t="s">
        <v>753</v>
      </c>
      <c r="M93" s="11">
        <v>526563</v>
      </c>
      <c r="N93" s="12">
        <v>0</v>
      </c>
    </row>
    <row r="94" spans="1:14" ht="16.95" customHeight="1" x14ac:dyDescent="0.3">
      <c r="D94" s="40" t="s">
        <v>7</v>
      </c>
      <c r="E94" s="193"/>
      <c r="F94" s="193"/>
      <c r="G94" s="193"/>
      <c r="H94" s="193"/>
      <c r="I94" s="193"/>
      <c r="K94" s="32">
        <v>82</v>
      </c>
      <c r="L94" s="318" t="s">
        <v>629</v>
      </c>
      <c r="M94" s="11">
        <v>50000</v>
      </c>
      <c r="N94" s="12">
        <v>0</v>
      </c>
    </row>
    <row r="95" spans="1:14" ht="16.95" customHeight="1" x14ac:dyDescent="0.3">
      <c r="E95" s="193"/>
      <c r="F95" s="193"/>
      <c r="G95" s="193"/>
      <c r="H95" s="193"/>
      <c r="I95" s="193"/>
      <c r="K95" s="32">
        <v>83</v>
      </c>
      <c r="L95" s="318" t="s">
        <v>630</v>
      </c>
      <c r="M95" s="11">
        <v>3360005</v>
      </c>
      <c r="N95" s="12">
        <v>0</v>
      </c>
    </row>
    <row r="96" spans="1:14" ht="16.95" customHeight="1" x14ac:dyDescent="0.3">
      <c r="E96" s="193"/>
      <c r="F96" s="193"/>
      <c r="G96" s="193"/>
      <c r="H96" s="193"/>
      <c r="I96" s="193"/>
      <c r="K96" s="32">
        <v>84</v>
      </c>
      <c r="L96" s="318" t="s">
        <v>631</v>
      </c>
      <c r="M96" s="11">
        <v>0</v>
      </c>
      <c r="N96" s="12">
        <v>3400001</v>
      </c>
    </row>
    <row r="97" spans="5:14" ht="16.95" customHeight="1" x14ac:dyDescent="0.3">
      <c r="E97" s="193"/>
      <c r="F97" s="193"/>
      <c r="G97" s="193"/>
      <c r="H97" s="193"/>
      <c r="I97" s="193"/>
      <c r="K97" s="32">
        <v>85</v>
      </c>
      <c r="L97" s="318" t="s">
        <v>649</v>
      </c>
      <c r="M97" s="11">
        <v>50000</v>
      </c>
      <c r="N97" s="12">
        <v>0</v>
      </c>
    </row>
    <row r="98" spans="5:14" ht="16.95" customHeight="1" x14ac:dyDescent="0.3">
      <c r="E98" s="193"/>
      <c r="F98" s="193"/>
      <c r="G98" s="193"/>
      <c r="H98" s="193"/>
      <c r="I98" s="193"/>
      <c r="K98" s="34"/>
      <c r="M98" s="193"/>
      <c r="N98" s="193"/>
    </row>
    <row r="99" spans="5:14" ht="16.95" customHeight="1" x14ac:dyDescent="0.3">
      <c r="E99" s="193"/>
      <c r="F99" s="193"/>
      <c r="G99" s="193"/>
      <c r="H99" s="193"/>
      <c r="I99" s="193"/>
      <c r="K99" s="364" t="s">
        <v>437</v>
      </c>
      <c r="L99" s="364"/>
      <c r="M99" s="364"/>
      <c r="N99" s="364"/>
    </row>
    <row r="100" spans="5:14" ht="16.95" customHeight="1" thickBot="1" x14ac:dyDescent="0.35">
      <c r="E100" s="193"/>
      <c r="F100" s="193"/>
      <c r="G100" s="193"/>
      <c r="H100" s="193"/>
      <c r="I100" s="193"/>
      <c r="K100" s="426" t="s">
        <v>272</v>
      </c>
      <c r="L100" s="426"/>
      <c r="M100" s="426"/>
      <c r="N100" s="426"/>
    </row>
    <row r="101" spans="5:14" ht="16.95" customHeight="1" x14ac:dyDescent="0.3">
      <c r="E101" s="193"/>
      <c r="F101" s="193"/>
      <c r="G101" s="193"/>
      <c r="H101" s="193"/>
      <c r="I101" s="193"/>
      <c r="K101" s="578" t="s">
        <v>474</v>
      </c>
      <c r="L101" s="578"/>
      <c r="M101" s="578"/>
      <c r="N101" s="578"/>
    </row>
    <row r="102" spans="5:14" ht="16.95" customHeight="1" x14ac:dyDescent="0.3">
      <c r="E102" s="193"/>
      <c r="F102" s="193"/>
      <c r="G102" s="193"/>
      <c r="H102" s="193"/>
      <c r="I102" s="193"/>
      <c r="K102" s="80"/>
      <c r="L102" s="80"/>
      <c r="M102" s="80"/>
      <c r="N102" s="80"/>
    </row>
    <row r="103" spans="5:14" ht="16.95" customHeight="1" x14ac:dyDescent="0.3">
      <c r="E103" s="193"/>
      <c r="F103" s="193"/>
      <c r="G103" s="193"/>
      <c r="H103" s="193"/>
      <c r="I103" s="193"/>
      <c r="K103" s="32">
        <v>86</v>
      </c>
      <c r="L103" s="318" t="s">
        <v>632</v>
      </c>
      <c r="M103" s="11">
        <v>0</v>
      </c>
      <c r="N103" s="12">
        <v>40000</v>
      </c>
    </row>
    <row r="104" spans="5:14" ht="16.95" customHeight="1" x14ac:dyDescent="0.3">
      <c r="E104" s="193"/>
      <c r="F104" s="193"/>
      <c r="G104" s="193"/>
      <c r="H104" s="193"/>
      <c r="I104" s="193"/>
      <c r="K104" s="32">
        <v>87</v>
      </c>
      <c r="L104" s="318" t="s">
        <v>633</v>
      </c>
      <c r="M104" s="11">
        <v>0</v>
      </c>
      <c r="N104" s="12">
        <v>2803212</v>
      </c>
    </row>
    <row r="105" spans="5:14" ht="16.95" customHeight="1" x14ac:dyDescent="0.3">
      <c r="E105" s="193"/>
      <c r="F105" s="193"/>
      <c r="G105" s="193"/>
      <c r="H105" s="193"/>
      <c r="I105" s="193"/>
      <c r="K105" s="32">
        <v>88</v>
      </c>
      <c r="L105" s="318" t="s">
        <v>634</v>
      </c>
      <c r="M105" s="11">
        <v>3214</v>
      </c>
      <c r="N105" s="12">
        <v>0</v>
      </c>
    </row>
    <row r="106" spans="5:14" ht="16.95" customHeight="1" x14ac:dyDescent="0.3">
      <c r="E106" s="193"/>
      <c r="F106" s="193"/>
      <c r="G106" s="193"/>
      <c r="H106" s="193"/>
      <c r="I106" s="193"/>
      <c r="K106" s="32">
        <v>89</v>
      </c>
      <c r="L106" s="318" t="s">
        <v>754</v>
      </c>
      <c r="M106" s="11">
        <v>5000000</v>
      </c>
      <c r="N106" s="12">
        <v>0</v>
      </c>
    </row>
    <row r="107" spans="5:14" ht="16.95" customHeight="1" x14ac:dyDescent="0.3">
      <c r="E107" s="193"/>
      <c r="F107" s="193"/>
      <c r="G107" s="193"/>
      <c r="H107" s="193"/>
      <c r="I107" s="193"/>
      <c r="K107" s="32">
        <v>90</v>
      </c>
      <c r="L107" s="318" t="s">
        <v>755</v>
      </c>
      <c r="M107" s="11">
        <v>500000</v>
      </c>
      <c r="N107" s="12">
        <v>0</v>
      </c>
    </row>
    <row r="108" spans="5:14" ht="16.95" customHeight="1" x14ac:dyDescent="0.3">
      <c r="E108" s="193"/>
      <c r="F108" s="193"/>
      <c r="G108" s="193"/>
      <c r="H108" s="193"/>
      <c r="I108" s="193"/>
      <c r="K108" s="32">
        <v>91</v>
      </c>
      <c r="L108" s="318" t="s">
        <v>635</v>
      </c>
      <c r="M108" s="11">
        <v>6161085</v>
      </c>
      <c r="N108" s="12">
        <v>0</v>
      </c>
    </row>
    <row r="109" spans="5:14" ht="16.95" customHeight="1" x14ac:dyDescent="0.3">
      <c r="E109" s="193"/>
      <c r="F109" s="193"/>
      <c r="G109" s="193"/>
      <c r="H109" s="193"/>
      <c r="I109" s="193"/>
      <c r="K109" s="32">
        <v>92</v>
      </c>
      <c r="L109" s="318" t="s">
        <v>636</v>
      </c>
      <c r="M109" s="11">
        <v>0</v>
      </c>
      <c r="N109" s="12">
        <v>36100</v>
      </c>
    </row>
    <row r="110" spans="5:14" ht="16.95" customHeight="1" x14ac:dyDescent="0.3">
      <c r="E110" s="193"/>
      <c r="F110" s="193"/>
      <c r="G110" s="193"/>
      <c r="H110" s="193"/>
      <c r="I110" s="193"/>
      <c r="K110" s="32">
        <v>93</v>
      </c>
      <c r="L110" s="318" t="s">
        <v>512</v>
      </c>
      <c r="M110" s="11">
        <v>3</v>
      </c>
      <c r="N110" s="12">
        <v>0</v>
      </c>
    </row>
    <row r="111" spans="5:14" ht="16.95" customHeight="1" x14ac:dyDescent="0.3">
      <c r="E111" s="193"/>
      <c r="F111" s="193"/>
      <c r="G111" s="193"/>
      <c r="H111" s="193"/>
      <c r="I111" s="193"/>
      <c r="K111" s="32">
        <v>94</v>
      </c>
      <c r="L111" s="318" t="s">
        <v>637</v>
      </c>
      <c r="M111" s="11">
        <v>1084</v>
      </c>
      <c r="N111" s="12">
        <v>0</v>
      </c>
    </row>
    <row r="112" spans="5:14" ht="16.95" customHeight="1" x14ac:dyDescent="0.3">
      <c r="E112" s="193"/>
      <c r="F112" s="193"/>
      <c r="G112" s="193"/>
      <c r="H112" s="193"/>
      <c r="I112" s="193"/>
      <c r="K112" s="32">
        <v>95</v>
      </c>
      <c r="L112" s="318" t="s">
        <v>756</v>
      </c>
      <c r="M112" s="11">
        <v>5000000</v>
      </c>
      <c r="N112" s="12">
        <v>0</v>
      </c>
    </row>
    <row r="113" spans="5:14" ht="16.95" customHeight="1" x14ac:dyDescent="0.3">
      <c r="E113" s="193"/>
      <c r="F113" s="193"/>
      <c r="G113" s="193"/>
      <c r="H113" s="193"/>
      <c r="I113" s="193"/>
      <c r="K113" s="32">
        <v>96</v>
      </c>
      <c r="L113" s="318" t="s">
        <v>706</v>
      </c>
      <c r="M113" s="11">
        <v>6124</v>
      </c>
      <c r="N113" s="12">
        <v>0</v>
      </c>
    </row>
    <row r="114" spans="5:14" ht="16.95" customHeight="1" x14ac:dyDescent="0.3">
      <c r="E114" s="193"/>
      <c r="F114" s="193"/>
      <c r="G114" s="193"/>
      <c r="H114" s="193"/>
      <c r="I114" s="193"/>
      <c r="K114" s="32">
        <v>97</v>
      </c>
      <c r="L114" s="318" t="s">
        <v>638</v>
      </c>
      <c r="M114" s="11">
        <v>0</v>
      </c>
      <c r="N114" s="12">
        <v>34552</v>
      </c>
    </row>
    <row r="115" spans="5:14" ht="16.95" customHeight="1" x14ac:dyDescent="0.3">
      <c r="E115" s="193"/>
      <c r="F115" s="193"/>
      <c r="G115" s="193"/>
      <c r="H115" s="193"/>
      <c r="I115" s="193"/>
      <c r="K115" s="32">
        <v>98</v>
      </c>
      <c r="L115" s="318" t="s">
        <v>757</v>
      </c>
      <c r="M115" s="11">
        <v>200000</v>
      </c>
      <c r="N115" s="12">
        <v>0</v>
      </c>
    </row>
    <row r="116" spans="5:14" ht="16.95" customHeight="1" x14ac:dyDescent="0.3">
      <c r="E116" s="193"/>
      <c r="F116" s="193"/>
      <c r="G116" s="193"/>
      <c r="H116" s="193"/>
      <c r="I116" s="193"/>
      <c r="K116" s="32">
        <v>99</v>
      </c>
      <c r="L116" s="318" t="s">
        <v>639</v>
      </c>
      <c r="M116" s="11">
        <v>1957</v>
      </c>
      <c r="N116" s="12">
        <v>0</v>
      </c>
    </row>
    <row r="117" spans="5:14" ht="16.95" customHeight="1" x14ac:dyDescent="0.3">
      <c r="E117" s="193"/>
      <c r="F117" s="193"/>
      <c r="G117" s="193"/>
      <c r="H117" s="193"/>
      <c r="I117" s="193"/>
      <c r="K117" s="32">
        <v>100</v>
      </c>
      <c r="L117" s="318" t="s">
        <v>640</v>
      </c>
      <c r="M117" s="11">
        <v>0</v>
      </c>
      <c r="N117" s="12">
        <v>2300000</v>
      </c>
    </row>
    <row r="118" spans="5:14" ht="16.95" customHeight="1" x14ac:dyDescent="0.3">
      <c r="E118" s="193"/>
      <c r="F118" s="193"/>
      <c r="G118" s="193"/>
      <c r="H118" s="193"/>
      <c r="I118" s="193"/>
      <c r="K118" s="32"/>
      <c r="L118" s="318"/>
      <c r="M118" s="11"/>
      <c r="N118" s="12"/>
    </row>
    <row r="119" spans="5:14" ht="16.95" customHeight="1" thickBot="1" x14ac:dyDescent="0.35">
      <c r="E119" s="193"/>
      <c r="F119" s="193"/>
      <c r="G119" s="193"/>
      <c r="H119" s="193"/>
      <c r="I119" s="193"/>
      <c r="K119" s="319"/>
      <c r="L119" s="98" t="s">
        <v>18</v>
      </c>
      <c r="M119" s="320">
        <f>SUM(M7:M118)</f>
        <v>99591710</v>
      </c>
      <c r="N119" s="321">
        <f>SUM(N7:N118)</f>
        <v>68544209</v>
      </c>
    </row>
    <row r="120" spans="5:14" ht="16.95" customHeight="1" thickTop="1" thickBot="1" x14ac:dyDescent="0.35">
      <c r="E120" s="193"/>
      <c r="F120" s="193"/>
      <c r="G120" s="193"/>
      <c r="H120" s="193"/>
      <c r="I120" s="193"/>
      <c r="K120" s="36"/>
      <c r="L120" s="322"/>
      <c r="M120" s="322"/>
      <c r="N120" s="323"/>
    </row>
    <row r="121" spans="5:14" ht="16.95" customHeight="1" x14ac:dyDescent="0.3">
      <c r="E121" s="193"/>
      <c r="F121" s="193"/>
      <c r="G121" s="193"/>
      <c r="H121" s="193"/>
      <c r="I121" s="193"/>
    </row>
    <row r="122" spans="5:14" ht="30" customHeight="1" thickBot="1" x14ac:dyDescent="0.35">
      <c r="E122" s="193"/>
      <c r="F122" s="193"/>
      <c r="G122" s="193"/>
      <c r="H122" s="193"/>
      <c r="I122" s="193"/>
      <c r="K122" s="426" t="s">
        <v>861</v>
      </c>
      <c r="L122" s="426"/>
      <c r="M122" s="426"/>
      <c r="N122" s="426"/>
    </row>
    <row r="123" spans="5:14" ht="33" customHeight="1" x14ac:dyDescent="0.3">
      <c r="E123" s="193"/>
      <c r="F123" s="193"/>
      <c r="G123" s="193"/>
      <c r="H123" s="193"/>
      <c r="I123" s="193"/>
      <c r="K123" s="35" t="s">
        <v>60</v>
      </c>
      <c r="L123" s="58" t="s">
        <v>594</v>
      </c>
      <c r="M123" s="58" t="str">
        <f>+M6</f>
        <v>For the year ended March 31, 2025</v>
      </c>
      <c r="N123" s="248" t="str">
        <f>+N6</f>
        <v>For the year ended March 31, 2024</v>
      </c>
    </row>
    <row r="124" spans="5:14" ht="16.95" customHeight="1" x14ac:dyDescent="0.3">
      <c r="E124" s="193"/>
      <c r="F124" s="193"/>
      <c r="G124" s="193"/>
      <c r="H124" s="193"/>
      <c r="I124" s="193"/>
      <c r="K124" s="32">
        <v>1</v>
      </c>
      <c r="L124" s="318" t="s">
        <v>804</v>
      </c>
      <c r="M124" s="183">
        <v>2000000</v>
      </c>
      <c r="N124" s="262">
        <v>0</v>
      </c>
    </row>
    <row r="125" spans="5:14" ht="16.95" customHeight="1" x14ac:dyDescent="0.3">
      <c r="E125" s="254"/>
      <c r="F125" s="193"/>
      <c r="G125" s="193"/>
      <c r="H125" s="193"/>
      <c r="I125" s="193"/>
      <c r="K125" s="32">
        <v>2</v>
      </c>
      <c r="L125" s="318" t="s">
        <v>805</v>
      </c>
      <c r="M125" s="183">
        <v>6000000</v>
      </c>
      <c r="N125" s="262">
        <v>0</v>
      </c>
    </row>
    <row r="126" spans="5:14" ht="16.95" customHeight="1" x14ac:dyDescent="0.3">
      <c r="F126" s="254"/>
      <c r="G126" s="254"/>
      <c r="H126" s="254"/>
      <c r="I126" s="254"/>
      <c r="K126" s="32">
        <v>3</v>
      </c>
      <c r="L126" s="318" t="s">
        <v>806</v>
      </c>
      <c r="M126" s="183">
        <v>1500000</v>
      </c>
      <c r="N126" s="262">
        <v>0</v>
      </c>
    </row>
    <row r="127" spans="5:14" ht="16.95" customHeight="1" x14ac:dyDescent="0.3">
      <c r="K127" s="32">
        <v>4</v>
      </c>
      <c r="L127" s="318" t="s">
        <v>807</v>
      </c>
      <c r="M127" s="183">
        <v>5000000</v>
      </c>
      <c r="N127" s="262">
        <v>0</v>
      </c>
    </row>
    <row r="128" spans="5:14" ht="16.95" customHeight="1" x14ac:dyDescent="0.3">
      <c r="K128" s="32">
        <v>5</v>
      </c>
      <c r="L128" s="318" t="s">
        <v>808</v>
      </c>
      <c r="M128" s="183">
        <v>2500000</v>
      </c>
      <c r="N128" s="262">
        <v>0</v>
      </c>
    </row>
    <row r="129" spans="11:14" ht="16.95" customHeight="1" x14ac:dyDescent="0.3">
      <c r="K129" s="32">
        <v>6</v>
      </c>
      <c r="L129" s="318" t="s">
        <v>684</v>
      </c>
      <c r="M129" s="183">
        <v>23000000</v>
      </c>
      <c r="N129" s="262">
        <v>0</v>
      </c>
    </row>
    <row r="130" spans="11:14" ht="16.95" customHeight="1" x14ac:dyDescent="0.3">
      <c r="K130" s="319"/>
      <c r="L130" s="318"/>
      <c r="M130" s="183"/>
      <c r="N130" s="262"/>
    </row>
    <row r="131" spans="11:14" ht="16.95" customHeight="1" thickBot="1" x14ac:dyDescent="0.35">
      <c r="K131" s="319"/>
      <c r="L131" s="318"/>
      <c r="M131" s="320">
        <f>SUM(M124:M130)</f>
        <v>40000000</v>
      </c>
      <c r="N131" s="321">
        <f>SUM(N124:N130)</f>
        <v>0</v>
      </c>
    </row>
    <row r="132" spans="11:14" ht="16.95" customHeight="1" thickTop="1" thickBot="1" x14ac:dyDescent="0.35">
      <c r="K132" s="36"/>
      <c r="L132" s="322"/>
      <c r="M132" s="322"/>
      <c r="N132" s="323"/>
    </row>
  </sheetData>
  <sheetProtection sheet="1" objects="1" scenarios="1"/>
  <mergeCells count="36">
    <mergeCell ref="K99:N99"/>
    <mergeCell ref="K100:N100"/>
    <mergeCell ref="A49:D49"/>
    <mergeCell ref="A50:D50"/>
    <mergeCell ref="A51:D51"/>
    <mergeCell ref="A1:D1"/>
    <mergeCell ref="A2:D2"/>
    <mergeCell ref="A5:D5"/>
    <mergeCell ref="A4:D4"/>
    <mergeCell ref="A3:D3"/>
    <mergeCell ref="K1:N1"/>
    <mergeCell ref="K2:N2"/>
    <mergeCell ref="K5:N5"/>
    <mergeCell ref="F1:I1"/>
    <mergeCell ref="F2:I2"/>
    <mergeCell ref="F5:I5"/>
    <mergeCell ref="K3:N3"/>
    <mergeCell ref="K4:N4"/>
    <mergeCell ref="F3:I3"/>
    <mergeCell ref="F4:I4"/>
    <mergeCell ref="K122:N122"/>
    <mergeCell ref="U5:X5"/>
    <mergeCell ref="P5:S5"/>
    <mergeCell ref="U1:X1"/>
    <mergeCell ref="U2:X2"/>
    <mergeCell ref="P2:S2"/>
    <mergeCell ref="P1:S1"/>
    <mergeCell ref="U3:X3"/>
    <mergeCell ref="K101:N101"/>
    <mergeCell ref="P3:S3"/>
    <mergeCell ref="P50:S50"/>
    <mergeCell ref="P51:S51"/>
    <mergeCell ref="P52:S52"/>
    <mergeCell ref="K50:N50"/>
    <mergeCell ref="K51:N51"/>
    <mergeCell ref="K52:N52"/>
  </mergeCells>
  <pageMargins left="0.59055118110236227" right="0.59055118110236227" top="0.78740157480314965" bottom="0.98425196850393704" header="0" footer="0"/>
  <pageSetup paperSize="9" scale="85" orientation="portrait" r:id="rId1"/>
  <colBreaks count="1" manualBreakCount="1">
    <brk id="9"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40682-53F2-4003-9B01-95973D19D981}">
  <dimension ref="A2:I36"/>
  <sheetViews>
    <sheetView tabSelected="1" topLeftCell="B1" workbookViewId="0">
      <selection activeCell="C13" sqref="C13"/>
    </sheetView>
  </sheetViews>
  <sheetFormatPr defaultColWidth="8.88671875" defaultRowHeight="16.2" customHeight="1" x14ac:dyDescent="0.3"/>
  <cols>
    <col min="1" max="1" width="1.5546875" style="31" bestFit="1" customWidth="1"/>
    <col min="2" max="2" width="5.5546875" style="31" bestFit="1" customWidth="1"/>
    <col min="3" max="3" width="45.33203125" style="31" bestFit="1" customWidth="1"/>
    <col min="4" max="5" width="19.6640625" style="31" bestFit="1" customWidth="1"/>
    <col min="6" max="6" width="16.33203125" style="31" bestFit="1" customWidth="1"/>
    <col min="7" max="7" width="16.6640625" style="31" bestFit="1" customWidth="1"/>
    <col min="8" max="8" width="12.6640625" style="31" bestFit="1" customWidth="1"/>
    <col min="9" max="9" width="15.5546875" style="31" bestFit="1" customWidth="1"/>
    <col min="10" max="10" width="15.6640625" style="31" bestFit="1" customWidth="1"/>
    <col min="11" max="11" width="12.6640625" style="31" bestFit="1" customWidth="1"/>
    <col min="12" max="12" width="16.6640625" style="31" bestFit="1" customWidth="1"/>
    <col min="13" max="13" width="15.5546875" style="31" bestFit="1" customWidth="1"/>
    <col min="14" max="16384" width="8.88671875" style="31"/>
  </cols>
  <sheetData>
    <row r="2" spans="1:9" ht="16.2" customHeight="1" x14ac:dyDescent="0.3">
      <c r="C2" s="106" t="s">
        <v>933</v>
      </c>
      <c r="D2" s="356"/>
      <c r="E2" s="254">
        <f>+'P&amp;L'!D21</f>
        <v>175607070</v>
      </c>
    </row>
    <row r="3" spans="1:9" ht="16.2" customHeight="1" x14ac:dyDescent="0.3">
      <c r="C3" s="106" t="s">
        <v>870</v>
      </c>
      <c r="D3" s="39"/>
    </row>
    <row r="4" spans="1:9" ht="16.2" customHeight="1" x14ac:dyDescent="0.3">
      <c r="A4" s="31" t="s">
        <v>7</v>
      </c>
      <c r="C4" s="31" t="s">
        <v>788</v>
      </c>
      <c r="D4" s="39">
        <f>+'Notes-P&amp;L'!H112</f>
        <v>10000</v>
      </c>
    </row>
    <row r="5" spans="1:9" ht="16.2" customHeight="1" x14ac:dyDescent="0.3">
      <c r="A5" s="31" t="s">
        <v>7</v>
      </c>
      <c r="C5" s="31" t="s">
        <v>871</v>
      </c>
      <c r="D5" s="39">
        <f>+'Notes-P&amp;L'!H109</f>
        <v>10000</v>
      </c>
      <c r="F5" s="39"/>
      <c r="H5" s="39"/>
      <c r="I5" s="40"/>
    </row>
    <row r="6" spans="1:9" ht="16.2" customHeight="1" x14ac:dyDescent="0.3">
      <c r="A6" s="31" t="s">
        <v>7</v>
      </c>
      <c r="C6" s="31" t="s">
        <v>925</v>
      </c>
      <c r="D6" s="39">
        <f>+'Notes-P&amp;L'!H106</f>
        <v>24000</v>
      </c>
      <c r="H6" s="40"/>
    </row>
    <row r="7" spans="1:9" ht="16.2" customHeight="1" x14ac:dyDescent="0.3">
      <c r="A7" s="31" t="s">
        <v>7</v>
      </c>
      <c r="C7" s="31" t="s">
        <v>930</v>
      </c>
      <c r="D7" s="39">
        <f>+'Notes-P&amp;L'!H108</f>
        <v>38962</v>
      </c>
      <c r="H7" s="39"/>
    </row>
    <row r="8" spans="1:9" ht="16.2" customHeight="1" x14ac:dyDescent="0.3">
      <c r="A8" s="31" t="s">
        <v>7</v>
      </c>
      <c r="C8" s="31" t="s">
        <v>926</v>
      </c>
      <c r="D8" s="39">
        <f>+'P&amp;L'!D15</f>
        <v>1813010</v>
      </c>
      <c r="F8" s="39"/>
      <c r="G8" s="40"/>
    </row>
    <row r="9" spans="1:9" ht="16.2" customHeight="1" x14ac:dyDescent="0.3">
      <c r="A9" s="31" t="s">
        <v>7</v>
      </c>
      <c r="C9" s="31" t="s">
        <v>931</v>
      </c>
      <c r="D9" s="39">
        <f>+'Notes-P&amp;L'!C107</f>
        <v>950000</v>
      </c>
      <c r="F9" s="39"/>
      <c r="G9" s="40"/>
      <c r="H9" s="39"/>
    </row>
    <row r="10" spans="1:9" ht="16.2" customHeight="1" x14ac:dyDescent="0.3">
      <c r="A10" s="31" t="s">
        <v>7</v>
      </c>
      <c r="C10" s="31" t="s">
        <v>927</v>
      </c>
      <c r="D10" s="39">
        <v>41526</v>
      </c>
      <c r="F10" s="40"/>
      <c r="H10" s="39"/>
    </row>
    <row r="11" spans="1:9" ht="16.2" customHeight="1" x14ac:dyDescent="0.3">
      <c r="A11" s="31" t="s">
        <v>7</v>
      </c>
      <c r="C11" s="31" t="s">
        <v>929</v>
      </c>
      <c r="D11" s="39">
        <f>+'Notes-P&amp;L'!J104</f>
        <v>3000</v>
      </c>
      <c r="F11" s="39"/>
      <c r="H11" s="40"/>
    </row>
    <row r="12" spans="1:9" ht="16.2" customHeight="1" x14ac:dyDescent="0.3">
      <c r="C12" s="31" t="s">
        <v>993</v>
      </c>
      <c r="D12" s="39">
        <f>+'Notes-P&amp;L'!H118</f>
        <v>10000</v>
      </c>
      <c r="F12" s="39"/>
      <c r="H12" s="40"/>
    </row>
    <row r="13" spans="1:9" ht="16.2" customHeight="1" x14ac:dyDescent="0.3">
      <c r="C13" s="31" t="s">
        <v>1064</v>
      </c>
      <c r="D13" s="39">
        <v>1204777</v>
      </c>
      <c r="F13" s="39"/>
      <c r="H13" s="40"/>
    </row>
    <row r="14" spans="1:9" ht="16.2" customHeight="1" x14ac:dyDescent="0.3">
      <c r="A14" s="31" t="s">
        <v>7</v>
      </c>
      <c r="C14" s="31" t="s">
        <v>928</v>
      </c>
      <c r="D14" s="357">
        <v>6916435</v>
      </c>
      <c r="E14" s="39">
        <f>SUM(D4:D14)</f>
        <v>11021710</v>
      </c>
      <c r="F14" s="40"/>
    </row>
    <row r="15" spans="1:9" ht="16.2" customHeight="1" x14ac:dyDescent="0.3">
      <c r="C15" s="106" t="s">
        <v>872</v>
      </c>
      <c r="D15" s="39"/>
      <c r="E15" s="39"/>
    </row>
    <row r="16" spans="1:9" ht="16.2" customHeight="1" x14ac:dyDescent="0.3">
      <c r="A16" s="31" t="s">
        <v>7</v>
      </c>
      <c r="C16" s="31" t="s">
        <v>873</v>
      </c>
      <c r="D16" s="39">
        <f>+'Dep - IT Act'!I12</f>
        <v>2149600</v>
      </c>
      <c r="E16" s="39">
        <f>+D16</f>
        <v>2149600</v>
      </c>
    </row>
    <row r="17" spans="2:5" ht="16.2" customHeight="1" x14ac:dyDescent="0.3">
      <c r="C17" s="106" t="s">
        <v>934</v>
      </c>
      <c r="D17" s="39"/>
      <c r="E17" s="356">
        <f>+E2+E14-E16</f>
        <v>184479180</v>
      </c>
    </row>
    <row r="18" spans="2:5" ht="16.2" customHeight="1" x14ac:dyDescent="0.3">
      <c r="C18" s="106" t="s">
        <v>874</v>
      </c>
      <c r="D18" s="39"/>
      <c r="E18" s="39">
        <f>ROUND((E17*25.168%),0)</f>
        <v>46429720</v>
      </c>
    </row>
    <row r="19" spans="2:5" ht="16.2" customHeight="1" x14ac:dyDescent="0.3">
      <c r="E19" s="40">
        <f>+'P&amp;L'!D27</f>
        <v>46429720</v>
      </c>
    </row>
    <row r="20" spans="2:5" ht="16.2" customHeight="1" x14ac:dyDescent="0.3">
      <c r="E20" s="40">
        <f>+E18-E19</f>
        <v>0</v>
      </c>
    </row>
    <row r="22" spans="2:5" ht="39.6" customHeight="1" thickBot="1" x14ac:dyDescent="0.35">
      <c r="B22" s="911" t="s">
        <v>958</v>
      </c>
      <c r="C22" s="911"/>
      <c r="D22" s="911"/>
      <c r="E22" s="911"/>
    </row>
    <row r="23" spans="2:5" ht="35.4" customHeight="1" x14ac:dyDescent="0.3">
      <c r="B23" s="73" t="s">
        <v>60</v>
      </c>
      <c r="C23" s="177" t="s">
        <v>0</v>
      </c>
      <c r="D23" s="358" t="s">
        <v>1</v>
      </c>
      <c r="E23" s="359" t="s">
        <v>2</v>
      </c>
    </row>
    <row r="24" spans="2:5" ht="16.2" customHeight="1" x14ac:dyDescent="0.3">
      <c r="B24" s="74" t="s">
        <v>41</v>
      </c>
      <c r="C24" s="178" t="s">
        <v>284</v>
      </c>
      <c r="D24" s="183">
        <f>+'P&amp;L'!D21</f>
        <v>175607070</v>
      </c>
      <c r="E24" s="183">
        <f>+'P&amp;L'!E25</f>
        <v>108828970</v>
      </c>
    </row>
    <row r="25" spans="2:5" ht="16.2" customHeight="1" x14ac:dyDescent="0.3">
      <c r="B25" s="74" t="s">
        <v>42</v>
      </c>
      <c r="C25" s="179" t="s">
        <v>285</v>
      </c>
      <c r="D25" s="183"/>
      <c r="E25" s="183"/>
    </row>
    <row r="26" spans="2:5" ht="16.2" customHeight="1" x14ac:dyDescent="0.3">
      <c r="B26" s="74" t="s">
        <v>7</v>
      </c>
      <c r="C26" s="178" t="s">
        <v>286</v>
      </c>
      <c r="D26" s="183">
        <f>+D14</f>
        <v>6916435</v>
      </c>
      <c r="E26" s="183">
        <v>1059728</v>
      </c>
    </row>
    <row r="27" spans="2:5" ht="16.2" customHeight="1" x14ac:dyDescent="0.3">
      <c r="B27" s="74"/>
      <c r="C27" s="178" t="s">
        <v>287</v>
      </c>
      <c r="D27" s="183">
        <f>+D11+D9+D7+D6+D5+D4+D10+D12+D13</f>
        <v>2292265</v>
      </c>
      <c r="E27" s="183">
        <v>103838</v>
      </c>
    </row>
    <row r="28" spans="2:5" ht="16.2" customHeight="1" x14ac:dyDescent="0.3">
      <c r="B28" s="74" t="s">
        <v>7</v>
      </c>
      <c r="C28" s="178" t="s">
        <v>288</v>
      </c>
      <c r="D28" s="183">
        <v>0</v>
      </c>
      <c r="E28" s="183">
        <v>0</v>
      </c>
    </row>
    <row r="29" spans="2:5" ht="16.2" customHeight="1" x14ac:dyDescent="0.3">
      <c r="B29" s="74" t="s">
        <v>7</v>
      </c>
      <c r="C29" s="178" t="s">
        <v>289</v>
      </c>
      <c r="D29" s="183">
        <f>+D8</f>
        <v>1813010</v>
      </c>
      <c r="E29" s="183">
        <v>1079988</v>
      </c>
    </row>
    <row r="30" spans="2:5" ht="16.2" customHeight="1" x14ac:dyDescent="0.3">
      <c r="B30" s="74" t="s">
        <v>7</v>
      </c>
      <c r="C30" s="178" t="s">
        <v>290</v>
      </c>
      <c r="D30" s="183">
        <f>-D16</f>
        <v>-2149600</v>
      </c>
      <c r="E30" s="183">
        <v>-1267138</v>
      </c>
    </row>
    <row r="31" spans="2:5" ht="16.2" customHeight="1" x14ac:dyDescent="0.3">
      <c r="B31" s="74" t="s">
        <v>43</v>
      </c>
      <c r="C31" s="180" t="s">
        <v>291</v>
      </c>
      <c r="D31" s="183">
        <f>SUM(D26:D30)</f>
        <v>8872110</v>
      </c>
      <c r="E31" s="186">
        <f>SUM(E26:E30)</f>
        <v>976416</v>
      </c>
    </row>
    <row r="32" spans="2:5" ht="16.2" customHeight="1" x14ac:dyDescent="0.3">
      <c r="B32" s="74" t="s">
        <v>47</v>
      </c>
      <c r="C32" s="180" t="s">
        <v>292</v>
      </c>
      <c r="D32" s="183">
        <f>+D24+D31</f>
        <v>184479180</v>
      </c>
      <c r="E32" s="183">
        <f>+E24+E31</f>
        <v>109805386</v>
      </c>
    </row>
    <row r="33" spans="2:5" ht="16.2" customHeight="1" x14ac:dyDescent="0.3">
      <c r="B33" s="74" t="s">
        <v>48</v>
      </c>
      <c r="C33" s="178" t="s">
        <v>293</v>
      </c>
      <c r="D33" s="184">
        <v>0.25168000000000001</v>
      </c>
      <c r="E33" s="184">
        <v>0.25168000000000001</v>
      </c>
    </row>
    <row r="34" spans="2:5" ht="16.2" customHeight="1" x14ac:dyDescent="0.3">
      <c r="B34" s="74" t="s">
        <v>49</v>
      </c>
      <c r="C34" s="180" t="s">
        <v>294</v>
      </c>
      <c r="D34" s="183">
        <f>ROUND((D32*D33),0)</f>
        <v>46429720</v>
      </c>
      <c r="E34" s="183">
        <f>ROUND((E32*E33),0)</f>
        <v>27635820</v>
      </c>
    </row>
    <row r="35" spans="2:5" ht="16.2" customHeight="1" x14ac:dyDescent="0.3">
      <c r="B35" s="75" t="s">
        <v>50</v>
      </c>
      <c r="C35" s="181" t="s">
        <v>295</v>
      </c>
      <c r="D35" s="50">
        <f>+'SAP 2'!H121:H121</f>
        <v>-1757446</v>
      </c>
      <c r="E35" s="187">
        <f>+'P&amp;L'!E29</f>
        <v>62995</v>
      </c>
    </row>
    <row r="36" spans="2:5" ht="16.2" customHeight="1" thickBot="1" x14ac:dyDescent="0.35">
      <c r="B36" s="76" t="s">
        <v>330</v>
      </c>
      <c r="C36" s="182" t="s">
        <v>296</v>
      </c>
      <c r="D36" s="185">
        <f>SUM(D34:D35)</f>
        <v>44672274</v>
      </c>
      <c r="E36" s="185">
        <f>SUM(E34:E35)</f>
        <v>27698815</v>
      </c>
    </row>
  </sheetData>
  <sheetProtection sheet="1" objects="1" scenarios="1"/>
  <mergeCells count="1">
    <mergeCell ref="B22:E2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14</vt:i4>
      </vt:variant>
    </vt:vector>
  </HeadingPairs>
  <TitlesOfParts>
    <vt:vector size="29" baseType="lpstr">
      <vt:lpstr>BS</vt:lpstr>
      <vt:lpstr>P&amp;L</vt:lpstr>
      <vt:lpstr>CFS</vt:lpstr>
      <vt:lpstr>Note 4 - SOCES</vt:lpstr>
      <vt:lpstr>Notes - </vt:lpstr>
      <vt:lpstr>Notes</vt:lpstr>
      <vt:lpstr>Notes -</vt:lpstr>
      <vt:lpstr>Notes-P&amp;L</vt:lpstr>
      <vt:lpstr>SAP</vt:lpstr>
      <vt:lpstr>SAP 2</vt:lpstr>
      <vt:lpstr>Ratio</vt:lpstr>
      <vt:lpstr>Dep - IT Act</vt:lpstr>
      <vt:lpstr>Ratio Working</vt:lpstr>
      <vt:lpstr>SC &amp; SD</vt:lpstr>
      <vt:lpstr>Sheet1</vt:lpstr>
      <vt:lpstr>BS!Print_Area</vt:lpstr>
      <vt:lpstr>CFS!Print_Area</vt:lpstr>
      <vt:lpstr>'Dep - IT Act'!Print_Area</vt:lpstr>
      <vt:lpstr>'Note 4 - SOCES'!Print_Area</vt:lpstr>
      <vt:lpstr>Notes!Print_Area</vt:lpstr>
      <vt:lpstr>'Notes -'!Print_Area</vt:lpstr>
      <vt:lpstr>'Notes - '!Print_Area</vt:lpstr>
      <vt:lpstr>'Notes-P&amp;L'!Print_Area</vt:lpstr>
      <vt:lpstr>'P&amp;L'!Print_Area</vt:lpstr>
      <vt:lpstr>Ratio!Print_Area</vt:lpstr>
      <vt:lpstr>'Ratio Working'!Print_Area</vt:lpstr>
      <vt:lpstr>SAP!Print_Area</vt:lpstr>
      <vt:lpstr>'SAP 2'!Print_Area</vt:lpstr>
      <vt:lpstr>'SC &amp; SD'!Print_Area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2025-09-11T09:03:10Z</dcterms:modified>
</cp:coreProperties>
</file>